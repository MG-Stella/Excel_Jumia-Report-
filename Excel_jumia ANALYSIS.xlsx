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ink/ink4.xml" ContentType="application/inkml+xml"/>
  <Override PartName="/xl/ink/ink5.xml" ContentType="application/inkml+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7F0B03B2-11C3-495D-BEDC-BCD837A35F60}" xr6:coauthVersionLast="47" xr6:coauthVersionMax="47" xr10:uidLastSave="{00000000-0000-0000-0000-000000000000}"/>
  <bookViews>
    <workbookView xWindow="-98" yWindow="-98" windowWidth="19396" windowHeight="10276" activeTab="2" xr2:uid="{00000000-000D-0000-FFFF-FFFF00000000}"/>
  </bookViews>
  <sheets>
    <sheet name="Excel_jumia" sheetId="1" r:id="rId1"/>
    <sheet name="READ ME" sheetId="2" r:id="rId2"/>
    <sheet name="DASHBOARD" sheetId="9" r:id="rId3"/>
    <sheet name="DESCRIPTIVE" sheetId="4" r:id="rId4"/>
    <sheet name="D1 PRODUCTS" sheetId="5" r:id="rId5"/>
    <sheet name="TREND " sheetId="7" r:id="rId6"/>
    <sheet name="PPA" sheetId="8" r:id="rId7"/>
  </sheets>
  <definedNames>
    <definedName name="_xlnm._FilterDatabase" localSheetId="0" hidden="1">Excel_jumia!$I$1:$I$116</definedName>
    <definedName name="Slicer_Discount_category">#N/A</definedName>
    <definedName name="Slicer_Discount_category1">#N/A</definedName>
    <definedName name="Slicer_Discount_category2">#N/A</definedName>
    <definedName name="Slicer_Product">#N/A</definedName>
    <definedName name="Slicer_Product1">#N/A</definedName>
    <definedName name="Slicer_Rating">#N/A</definedName>
    <definedName name="Slicer_Rating__Category">#N/A</definedName>
    <definedName name="Slicer_Rating__Category1">#N/A</definedName>
    <definedName name="Slicer_Rating__Category2">#N/A</definedName>
    <definedName name="Slicer_Rating__Category3">#N/A</definedName>
    <definedName name="Slicer_Review_2">#N/A</definedName>
    <definedName name="Slicer_Review_21">#N/A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5" i="1" l="1"/>
  <c r="B115" i="1"/>
  <c r="C114" i="1"/>
  <c r="B11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2" i="1"/>
  <c r="C113" i="1"/>
  <c r="B113" i="1"/>
  <c r="I113" i="1"/>
  <c r="E60" i="1"/>
  <c r="E61" i="1"/>
  <c r="E62" i="1"/>
  <c r="E63" i="1"/>
  <c r="E64" i="1"/>
  <c r="E65" i="1"/>
  <c r="E66" i="1"/>
  <c r="E67" i="1"/>
  <c r="E68" i="1"/>
  <c r="E69" i="1"/>
  <c r="E70" i="1"/>
  <c r="E71" i="1"/>
  <c r="E72" i="1"/>
  <c r="E73" i="1"/>
  <c r="E74" i="1"/>
  <c r="E79" i="1"/>
  <c r="E80" i="1"/>
  <c r="E83" i="1"/>
  <c r="E100" i="1"/>
  <c r="E109" i="1"/>
  <c r="E32" i="1"/>
  <c r="E33" i="1"/>
  <c r="E34" i="1"/>
  <c r="E35" i="1"/>
  <c r="E36" i="1"/>
  <c r="E37" i="1"/>
  <c r="E38" i="1"/>
  <c r="E39" i="1"/>
  <c r="E40" i="1"/>
  <c r="E24" i="1"/>
  <c r="E25" i="1"/>
  <c r="E26" i="1"/>
  <c r="E27" i="1"/>
  <c r="E28" i="1"/>
  <c r="E29" i="1"/>
  <c r="E30" i="1"/>
  <c r="E3" i="1"/>
  <c r="E4" i="1"/>
  <c r="E5" i="1"/>
  <c r="E6" i="1"/>
  <c r="E7" i="1"/>
  <c r="E8" i="1"/>
  <c r="E9" i="1"/>
  <c r="E10" i="1"/>
  <c r="E11" i="1"/>
  <c r="E12" i="1"/>
  <c r="E13" i="1"/>
  <c r="E14" i="1"/>
  <c r="E15" i="1"/>
  <c r="E16" i="1"/>
  <c r="E17" i="1"/>
  <c r="E18" i="1"/>
  <c r="E19" i="1"/>
  <c r="E20" i="1"/>
  <c r="E21" i="1"/>
  <c r="E22" i="1"/>
  <c r="E2" i="1"/>
  <c r="E113" i="1" s="1"/>
  <c r="E110" i="1"/>
  <c r="E108" i="1"/>
  <c r="E107" i="1"/>
  <c r="E106" i="1"/>
  <c r="E105" i="1"/>
  <c r="E104" i="1"/>
  <c r="E103" i="1"/>
  <c r="E102" i="1"/>
  <c r="E101" i="1"/>
  <c r="E99" i="1"/>
  <c r="E98" i="1"/>
  <c r="E97" i="1"/>
  <c r="E96" i="1"/>
  <c r="E95" i="1"/>
  <c r="E94" i="1"/>
  <c r="E93" i="1"/>
  <c r="E92" i="1"/>
  <c r="E91" i="1"/>
  <c r="E90" i="1"/>
  <c r="E89" i="1"/>
  <c r="E88" i="1"/>
  <c r="E87" i="1"/>
  <c r="E86" i="1"/>
  <c r="E85" i="1"/>
  <c r="E84" i="1"/>
  <c r="E82" i="1"/>
  <c r="E81" i="1"/>
  <c r="E78" i="1"/>
  <c r="E77" i="1"/>
  <c r="E76" i="1"/>
  <c r="E75" i="1"/>
  <c r="E59" i="1"/>
  <c r="E58" i="1"/>
  <c r="E57" i="1"/>
  <c r="E56" i="1"/>
  <c r="E55" i="1"/>
  <c r="E54" i="1"/>
  <c r="E53" i="1"/>
  <c r="E52" i="1"/>
  <c r="E51" i="1"/>
  <c r="E50" i="1"/>
  <c r="E49" i="1"/>
  <c r="E48" i="1"/>
  <c r="E47" i="1"/>
  <c r="E46" i="1"/>
  <c r="E45" i="1"/>
  <c r="E44" i="1"/>
  <c r="E43" i="1"/>
  <c r="E42" i="1"/>
  <c r="E41" i="1"/>
  <c r="E31" i="1"/>
  <c r="E23"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2" i="1"/>
</calcChain>
</file>

<file path=xl/sharedStrings.xml><?xml version="1.0" encoding="utf-8"?>
<sst xmlns="http://schemas.openxmlformats.org/spreadsheetml/2006/main" count="660" uniqueCount="165">
  <si>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</si>
  <si>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</si>
  <si>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</si>
  <si>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</si>
  <si>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</si>
  <si>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</si>
  <si>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</si>
  <si>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</si>
  <si>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</si>
  <si>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</si>
  <si>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</si>
  <si>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</si>
  <si>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</si>
  <si>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</si>
  <si>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</si>
  <si>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</si>
  <si>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</si>
  <si>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</si>
  <si>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</si>
  <si>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</si>
  <si>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</si>
  <si>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</si>
  <si>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</si>
  <si>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</si>
  <si>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</si>
  <si>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</si>
  <si>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</si>
  <si>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</si>
  <si>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</si>
  <si>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</si>
  <si>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</si>
  <si>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</si>
  <si>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</si>
  <si>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</si>
  <si>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</si>
  <si>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</si>
  <si>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</si>
  <si>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</si>
  <si>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</si>
  <si>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</si>
  <si>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</si>
  <si>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</si>
  <si>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</si>
  <si>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</si>
  <si>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</si>
  <si>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</si>
  <si>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</si>
  <si>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</si>
  <si>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</si>
  <si>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</si>
  <si>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</si>
  <si>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</si>
  <si>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</si>
  <si>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</si>
  <si>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</si>
  <si>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</si>
  <si>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</si>
  <si>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</si>
  <si>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</si>
  <si>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</si>
  <si>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</si>
  <si>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</si>
  <si>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</si>
  <si>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</si>
  <si>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</si>
  <si>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</si>
  <si>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</si>
  <si>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</si>
  <si>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</si>
  <si>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</si>
  <si>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</si>
  <si>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</si>
  <si>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</si>
  <si>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</si>
  <si>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</si>
  <si>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</si>
  <si>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</si>
  <si>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</si>
  <si>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</si>
  <si>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</si>
  <si>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</si>
  <si>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</si>
  <si>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</si>
  <si>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</si>
  <si>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</si>
  <si>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</si>
  <si>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</si>
  <si>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</si>
  <si>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</si>
  <si>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</si>
  <si>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</si>
  <si>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</si>
  <si>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</si>
  <si>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</si>
  <si>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</si>
  <si>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</si>
  <si>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</si>
  <si>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</si>
  <si>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</si>
  <si>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</si>
  <si>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</si>
  <si>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</si>
  <si>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</si>
  <si>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</si>
  <si>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</si>
  <si>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</si>
  <si>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</si>
  <si>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</si>
  <si>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</si>
  <si>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</si>
  <si>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</si>
  <si>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</si>
  <si>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</si>
  <si>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</si>
  <si>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</si>
  <si>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r>
      <t xml:space="preserve">Highlighted cells in the review column with </t>
    </r>
    <r>
      <rPr>
        <sz val="11"/>
        <color rgb="FF00B050"/>
        <rFont val="Calibri"/>
        <family val="2"/>
        <scheme val="minor"/>
      </rPr>
      <t>0</t>
    </r>
    <r>
      <rPr>
        <sz val="11"/>
        <color theme="1"/>
        <rFont val="Calibri"/>
        <family val="2"/>
        <scheme val="minor"/>
      </rPr>
      <t xml:space="preserve">  had blanks </t>
    </r>
  </si>
  <si>
    <t>Review 2</t>
  </si>
  <si>
    <t>Discount amount</t>
  </si>
  <si>
    <t xml:space="preserve">                                                                                                                            AVERAGE</t>
  </si>
  <si>
    <t>Discount category</t>
  </si>
  <si>
    <t>Rating  Category</t>
  </si>
  <si>
    <t xml:space="preserve">                                                                                                                              MAX</t>
  </si>
  <si>
    <t xml:space="preserve">                                                                                                                             MIN</t>
  </si>
  <si>
    <t>Sum of Rating</t>
  </si>
  <si>
    <t>Row Labels</t>
  </si>
  <si>
    <t>High</t>
  </si>
  <si>
    <t>Low</t>
  </si>
  <si>
    <t>Medium</t>
  </si>
  <si>
    <t>(blank)</t>
  </si>
  <si>
    <t>Grand Total</t>
  </si>
  <si>
    <t>Average of Rating</t>
  </si>
  <si>
    <t>Execellent</t>
  </si>
  <si>
    <t>Average</t>
  </si>
  <si>
    <t>Poor</t>
  </si>
  <si>
    <t>Column Labels</t>
  </si>
  <si>
    <t>(All)</t>
  </si>
  <si>
    <t>Sum of Discount</t>
  </si>
  <si>
    <t>Sum of Review 2</t>
  </si>
  <si>
    <t>Count of Review 2</t>
  </si>
  <si>
    <t>Sum of Discount amount</t>
  </si>
  <si>
    <t>Count of Discount</t>
  </si>
  <si>
    <t>Average of Discount</t>
  </si>
  <si>
    <t>TREND IV)    HIGH RATED  RODUCTS   COMPARED TO THE REVIEW</t>
  </si>
  <si>
    <t>Total Count of Product</t>
  </si>
  <si>
    <t>Total Sum of Rating</t>
  </si>
  <si>
    <t>Count of Product</t>
  </si>
  <si>
    <t>TREND II)  rating versus review</t>
  </si>
  <si>
    <t>(Multiple Items)</t>
  </si>
  <si>
    <t>In the  Rating cell the blank values as highlited  were filled by the average value</t>
  </si>
  <si>
    <t>DATA ENRICHMENT</t>
  </si>
  <si>
    <t xml:space="preserve">TO  get the discount category and  rating category  the IF statement was used to achieve the result </t>
  </si>
  <si>
    <t>DATA ANALYSIS</t>
  </si>
  <si>
    <t>The average  was calculated by the formula =AVERAGE(…...)</t>
  </si>
  <si>
    <r>
      <t>The most expensive product is</t>
    </r>
    <r>
      <rPr>
        <sz val="11"/>
        <color theme="4" tint="-0.499984740745262"/>
        <rFont val="Calibri"/>
        <family val="2"/>
        <scheme val="minor"/>
      </rPr>
      <t xml:space="preserve"> </t>
    </r>
    <r>
      <rPr>
        <b/>
        <sz val="11"/>
        <color theme="4" tint="-0.499984740745262"/>
        <rFont val="Calibri"/>
        <family val="2"/>
        <scheme val="minor"/>
      </rPr>
      <t xml:space="preserve">A PORTABLE CORDLESS DRILL SET </t>
    </r>
    <r>
      <rPr>
        <sz val="11"/>
        <color theme="1"/>
        <rFont val="Calibri"/>
        <family val="2"/>
        <scheme val="minor"/>
      </rPr>
      <t>AT COLUMN 68</t>
    </r>
  </si>
  <si>
    <r>
      <t xml:space="preserve">The  least expensive is </t>
    </r>
    <r>
      <rPr>
        <sz val="11"/>
        <color theme="5" tint="-0.249977111117893"/>
        <rFont val="Calibri"/>
        <family val="2"/>
        <scheme val="minor"/>
      </rPr>
      <t>A KNITTING CROCHET CROTCHET AS HIGHLIGHETED</t>
    </r>
  </si>
  <si>
    <t>FOR TRENDS</t>
  </si>
  <si>
    <t>TOP 10  products wIth highest discount have been highlighted</t>
  </si>
  <si>
    <r>
      <t xml:space="preserve">TOP 10  products wIth </t>
    </r>
    <r>
      <rPr>
        <sz val="11"/>
        <color rgb="FFCC99FF"/>
        <rFont val="Calibri"/>
        <family val="2"/>
        <scheme val="minor"/>
      </rPr>
      <t>MOST REVIEWS</t>
    </r>
    <r>
      <rPr>
        <sz val="11"/>
        <color theme="1"/>
        <rFont val="Calibri"/>
        <family val="2"/>
        <scheme val="minor"/>
      </rPr>
      <t xml:space="preserve"> have been highlighted </t>
    </r>
  </si>
  <si>
    <r>
      <rPr>
        <sz val="11"/>
        <color rgb="FFFFCCCC"/>
        <rFont val="Calibri"/>
        <family val="2"/>
        <scheme val="minor"/>
      </rPr>
      <t>HIGHEST RATED</t>
    </r>
    <r>
      <rPr>
        <sz val="11"/>
        <color theme="1"/>
        <rFont val="Calibri"/>
        <family val="2"/>
        <scheme val="minor"/>
      </rPr>
      <t xml:space="preserve"> PRODUCTS</t>
    </r>
  </si>
  <si>
    <r>
      <rPr>
        <sz val="11"/>
        <color rgb="FF7030A0"/>
        <rFont val="Calibri"/>
        <family val="2"/>
        <scheme val="minor"/>
      </rPr>
      <t>LOWEST RATED</t>
    </r>
    <r>
      <rPr>
        <sz val="11"/>
        <color theme="1"/>
        <rFont val="Calibri"/>
        <family val="2"/>
        <scheme val="minor"/>
      </rPr>
      <t xml:space="preserve"> PRODUCTS</t>
    </r>
  </si>
  <si>
    <r>
      <t xml:space="preserve">      </t>
    </r>
    <r>
      <rPr>
        <b/>
        <sz val="14"/>
        <color rgb="FFFFCCFF"/>
        <rFont val="Calibri"/>
        <family val="2"/>
        <scheme val="minor"/>
      </rPr>
      <t>PRODUCT ANALYSIS</t>
    </r>
  </si>
  <si>
    <t>AVERAGE RATING= 3.8</t>
  </si>
  <si>
    <t>AVERAGE DISCOUNT%=36%</t>
  </si>
  <si>
    <t>TOTAL NUMBER OF PRODUCTS=74</t>
  </si>
  <si>
    <t>TOTAL NO OF REVIEWS  =334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</si>
</sst>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Ksh-441]\ #,##0"/>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Calibri"/>
      <family val="2"/>
      <scheme val="minor"/>
    </font>
    <font>
      <sz val="11"/>
      <color rgb="FF00B050"/>
      <name val="Calibri"/>
      <family val="2"/>
      <scheme val="minor"/>
    </font>
    <font>
      <b/>
      <sz val="11"/>
      <color theme="9" tint="-0.499984740745262"/>
      <name val="Calibri"/>
      <family val="2"/>
      <scheme val="minor"/>
    </font>
    <font>
      <sz val="11"/>
      <color rgb="FF48323F"/>
      <name val="Calibri"/>
      <family val="2"/>
      <scheme val="minor"/>
    </font>
    <font>
      <b/>
      <sz val="12"/>
      <color theme="1"/>
      <name val="Calibri"/>
      <family val="2"/>
      <scheme val="minor"/>
    </font>
    <font>
      <b/>
      <sz val="14"/>
      <color rgb="FFFFCCFF"/>
      <name val="Calibri"/>
      <family val="2"/>
      <scheme val="minor"/>
    </font>
    <font>
      <b/>
      <u/>
      <sz val="14"/>
      <color rgb="FFFFCCFF"/>
      <name val="Calibri"/>
      <family val="2"/>
      <scheme val="minor"/>
    </font>
    <font>
      <sz val="11"/>
      <color theme="4" tint="-0.499984740745262"/>
      <name val="Calibri"/>
      <family val="2"/>
      <scheme val="minor"/>
    </font>
    <font>
      <b/>
      <sz val="11"/>
      <color theme="4" tint="-0.499984740745262"/>
      <name val="Calibri"/>
      <family val="2"/>
      <scheme val="minor"/>
    </font>
    <font>
      <sz val="11"/>
      <color theme="5" tint="-0.249977111117893"/>
      <name val="Calibri"/>
      <family val="2"/>
      <scheme val="minor"/>
    </font>
    <font>
      <sz val="11"/>
      <color rgb="FFFFCCCC"/>
      <name val="Calibri"/>
      <family val="2"/>
      <scheme val="minor"/>
    </font>
    <font>
      <sz val="11"/>
      <color rgb="FFCC99FF"/>
      <name val="Calibri"/>
      <family val="2"/>
      <scheme val="minor"/>
    </font>
    <font>
      <sz val="11"/>
      <color rgb="FF7030A0"/>
      <name val="Calibri"/>
      <family val="2"/>
      <scheme val="minor"/>
    </font>
    <font>
      <sz val="8"/>
      <color rgb="FF48323F"/>
      <name val="Calibri"/>
      <family val="2"/>
      <scheme val="minor"/>
    </font>
    <font>
      <u/>
      <sz val="8"/>
      <color rgb="FF48323F"/>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450666829432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rgb="FF48323F"/>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9" fontId="0" fillId="0" borderId="0" xfId="0" applyNumberFormat="1"/>
    <xf numFmtId="49" fontId="0" fillId="0" borderId="0" xfId="0" applyNumberFormat="1"/>
    <xf numFmtId="2" fontId="0" fillId="0" borderId="0" xfId="0" applyNumberFormat="1"/>
    <xf numFmtId="164" fontId="0" fillId="0" borderId="0" xfId="0" applyNumberFormat="1"/>
    <xf numFmtId="1" fontId="0" fillId="0" borderId="0" xfId="0" applyNumberFormat="1"/>
    <xf numFmtId="49" fontId="16" fillId="0" borderId="0" xfId="0" applyNumberFormat="1" applyFont="1"/>
    <xf numFmtId="49" fontId="18" fillId="0" borderId="0" xfId="0" applyNumberFormat="1" applyFont="1"/>
    <xf numFmtId="1" fontId="18" fillId="0" borderId="0" xfId="0" applyNumberFormat="1" applyFont="1"/>
    <xf numFmtId="0" fontId="18" fillId="0" borderId="0" xfId="0" applyFont="1"/>
    <xf numFmtId="164" fontId="18" fillId="33" borderId="0" xfId="0" applyNumberFormat="1" applyFont="1" applyFill="1"/>
    <xf numFmtId="164" fontId="0" fillId="33" borderId="0" xfId="0" applyNumberFormat="1" applyFill="1"/>
    <xf numFmtId="9" fontId="18" fillId="0" borderId="0" xfId="0" applyNumberFormat="1" applyFont="1"/>
    <xf numFmtId="49" fontId="0" fillId="34" borderId="0" xfId="0" applyNumberFormat="1" applyFill="1"/>
    <xf numFmtId="1" fontId="0" fillId="34" borderId="0" xfId="0" applyNumberFormat="1" applyFill="1"/>
    <xf numFmtId="2" fontId="0" fillId="34" borderId="0" xfId="0" applyNumberFormat="1" applyFill="1"/>
    <xf numFmtId="164" fontId="0" fillId="34" borderId="0" xfId="0" applyNumberFormat="1" applyFill="1"/>
    <xf numFmtId="0" fontId="0" fillId="34" borderId="0" xfId="0" applyFill="1"/>
    <xf numFmtId="49" fontId="0" fillId="35" borderId="0" xfId="0" applyNumberFormat="1" applyFill="1"/>
    <xf numFmtId="1" fontId="0" fillId="35" borderId="0" xfId="0" applyNumberFormat="1" applyFill="1"/>
    <xf numFmtId="2" fontId="0" fillId="35" borderId="0" xfId="0" applyNumberFormat="1" applyFill="1"/>
    <xf numFmtId="164" fontId="0" fillId="35" borderId="0" xfId="0" applyNumberFormat="1" applyFill="1"/>
    <xf numFmtId="0" fontId="0" fillId="35"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9" fontId="0" fillId="35" borderId="0" xfId="0" applyNumberFormat="1" applyFill="1"/>
    <xf numFmtId="9" fontId="0" fillId="34" borderId="0" xfId="0" applyNumberFormat="1" applyFill="1"/>
    <xf numFmtId="9" fontId="0" fillId="0" borderId="0" xfId="0" applyNumberFormat="1" applyAlignment="1">
      <alignment horizontal="left"/>
    </xf>
    <xf numFmtId="0" fontId="20" fillId="0" borderId="0" xfId="0" applyFont="1"/>
    <xf numFmtId="0" fontId="22" fillId="0" borderId="0" xfId="0" applyFont="1"/>
    <xf numFmtId="165" fontId="18" fillId="0" borderId="0" xfId="0" applyNumberFormat="1" applyFont="1"/>
    <xf numFmtId="165" fontId="0" fillId="0" borderId="0" xfId="0" applyNumberFormat="1"/>
    <xf numFmtId="165" fontId="0" fillId="35" borderId="0" xfId="0" applyNumberFormat="1" applyFill="1"/>
    <xf numFmtId="165" fontId="0" fillId="34" borderId="0" xfId="0" applyNumberFormat="1" applyFill="1"/>
    <xf numFmtId="0" fontId="28" fillId="0" borderId="0" xfId="0" applyFont="1"/>
    <xf numFmtId="0" fontId="0" fillId="0" borderId="0" xfId="0" applyAlignment="1">
      <alignment horizontal="right"/>
    </xf>
    <xf numFmtId="0" fontId="20" fillId="0" borderId="0" xfId="0" applyFont="1"/>
    <xf numFmtId="0" fontId="21" fillId="36" borderId="0" xfId="0" applyFont="1" applyFill="1" applyBorder="1"/>
    <xf numFmtId="0" fontId="0" fillId="0" borderId="0" xfId="0" applyNumberFormat="1"/>
    <xf numFmtId="0" fontId="21" fillId="37" borderId="0" xfId="0" applyFont="1" applyFill="1" applyBorder="1"/>
    <xf numFmtId="0" fontId="24" fillId="36" borderId="0" xfId="0" applyFont="1" applyFill="1" applyBorder="1" applyAlignment="1">
      <alignment horizontal="left" indent="43"/>
    </xf>
    <xf numFmtId="0" fontId="31" fillId="36" borderId="0" xfId="0" applyFont="1" applyFill="1" applyBorder="1"/>
    <xf numFmtId="0" fontId="32" fillId="36"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FFCCCC"/>
      </font>
    </dxf>
    <dxf>
      <fill>
        <patternFill>
          <bgColor rgb="FFCC99FF"/>
        </patternFill>
      </fill>
    </dxf>
    <dxf>
      <fill>
        <patternFill>
          <bgColor rgb="FFFFCCCC"/>
        </patternFill>
      </fill>
    </dxf>
    <dxf>
      <fill>
        <patternFill>
          <bgColor rgb="FFFFCCFF"/>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CC"/>
      <color rgb="FFCC99FF"/>
      <color rgb="FFFFCCFF"/>
      <color rgb="FF48323F"/>
      <color rgb="FF303635"/>
      <color rgb="FF993366"/>
      <color rgb="FF666699"/>
      <color rgb="FF631D4D"/>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theme" Target="theme/theme1.xml"/><Relationship Id="rId10" Type="http://schemas.openxmlformats.org/officeDocument/2006/relationships/pivotCacheDefinition" Target="pivotCache/pivotCacheDefinition3.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ANALYSIS.xlsx]PPA!PivotTable10</c:name>
    <c:fmtId val="8"/>
  </c:pivotSource>
  <c:chart>
    <c:title>
      <c:tx>
        <c:rich>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5">
                    <a:lumMod val="50000"/>
                  </a:schemeClr>
                </a:solidFill>
              </a:rPr>
              <a:t>PRODUCTS DISCOUNT BASED ON RATINGS AND REVIEWS </a:t>
            </a:r>
          </a:p>
        </c:rich>
      </c:tx>
      <c:layout>
        <c:manualLayout>
          <c:xMode val="edge"/>
          <c:yMode val="edge"/>
          <c:x val="0.14852963764293309"/>
          <c:y val="9.4356667451720153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30390350142405E-2"/>
          <c:y val="0.34018282016044182"/>
          <c:w val="0.66016479081314061"/>
          <c:h val="0.49843658776670985"/>
        </c:manualLayout>
      </c:layout>
      <c:barChart>
        <c:barDir val="col"/>
        <c:grouping val="clustered"/>
        <c:varyColors val="0"/>
        <c:ser>
          <c:idx val="0"/>
          <c:order val="0"/>
          <c:tx>
            <c:strRef>
              <c:f>PPA!$B$116</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PPA!$B$117:$B$120</c:f>
              <c:numCache>
                <c:formatCode>0.0</c:formatCode>
                <c:ptCount val="3"/>
                <c:pt idx="0">
                  <c:v>3.6966101694915277</c:v>
                </c:pt>
                <c:pt idx="1">
                  <c:v>3.7833333333333323</c:v>
                </c:pt>
                <c:pt idx="2">
                  <c:v>4.1437500000000007</c:v>
                </c:pt>
              </c:numCache>
            </c:numRef>
          </c:val>
          <c:extLst>
            <c:ext xmlns:c16="http://schemas.microsoft.com/office/drawing/2014/chart" uri="{C3380CC4-5D6E-409C-BE32-E72D297353CC}">
              <c16:uniqueId val="{00000000-16E8-4F5E-A8B4-39116E2B7D0E}"/>
            </c:ext>
          </c:extLst>
        </c:ser>
        <c:ser>
          <c:idx val="1"/>
          <c:order val="1"/>
          <c:tx>
            <c:strRef>
              <c:f>PPA!$C$116</c:f>
              <c:strCache>
                <c:ptCount val="1"/>
                <c:pt idx="0">
                  <c:v>Count of Review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PPA!$C$117:$C$120</c:f>
              <c:numCache>
                <c:formatCode>General</c:formatCode>
                <c:ptCount val="3"/>
                <c:pt idx="0">
                  <c:v>59</c:v>
                </c:pt>
                <c:pt idx="1">
                  <c:v>18</c:v>
                </c:pt>
                <c:pt idx="2">
                  <c:v>32</c:v>
                </c:pt>
              </c:numCache>
            </c:numRef>
          </c:val>
          <c:extLst>
            <c:ext xmlns:c16="http://schemas.microsoft.com/office/drawing/2014/chart" uri="{C3380CC4-5D6E-409C-BE32-E72D297353CC}">
              <c16:uniqueId val="{00000001-16E8-4F5E-A8B4-39116E2B7D0E}"/>
            </c:ext>
          </c:extLst>
        </c:ser>
        <c:ser>
          <c:idx val="2"/>
          <c:order val="2"/>
          <c:tx>
            <c:strRef>
              <c:f>PPA!$D$116</c:f>
              <c:strCache>
                <c:ptCount val="1"/>
                <c:pt idx="0">
                  <c:v>Count of Discount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PPA!$D$117:$D$120</c:f>
              <c:numCache>
                <c:formatCode>General</c:formatCode>
                <c:ptCount val="3"/>
                <c:pt idx="0">
                  <c:v>59</c:v>
                </c:pt>
                <c:pt idx="1">
                  <c:v>18</c:v>
                </c:pt>
                <c:pt idx="2">
                  <c:v>32</c:v>
                </c:pt>
              </c:numCache>
            </c:numRef>
          </c:val>
          <c:extLst>
            <c:ext xmlns:c16="http://schemas.microsoft.com/office/drawing/2014/chart" uri="{C3380CC4-5D6E-409C-BE32-E72D297353CC}">
              <c16:uniqueId val="{00000002-16E8-4F5E-A8B4-39116E2B7D0E}"/>
            </c:ext>
          </c:extLst>
        </c:ser>
        <c:dLbls>
          <c:showLegendKey val="0"/>
          <c:showVal val="0"/>
          <c:showCatName val="0"/>
          <c:showSerName val="0"/>
          <c:showPercent val="0"/>
          <c:showBubbleSize val="0"/>
        </c:dLbls>
        <c:gapWidth val="100"/>
        <c:overlap val="-24"/>
        <c:axId val="760263631"/>
        <c:axId val="760266959"/>
      </c:barChart>
      <c:catAx>
        <c:axId val="760263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266959"/>
        <c:crosses val="autoZero"/>
        <c:auto val="1"/>
        <c:lblAlgn val="ctr"/>
        <c:lblOffset val="100"/>
        <c:noMultiLvlLbl val="0"/>
      </c:catAx>
      <c:valAx>
        <c:axId val="76026695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2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 ANALYSIS.xlsx]TREND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030A0"/>
                </a:solidFill>
              </a:rPr>
              <a:t>DISCOUNT</a:t>
            </a:r>
            <a:r>
              <a:rPr lang="en-US"/>
              <a:t> </a:t>
            </a:r>
            <a:r>
              <a:rPr lang="en-US">
                <a:solidFill>
                  <a:srgbClr val="7030A0"/>
                </a:solidFill>
              </a:rPr>
              <a:t>PERCENTAGE BY NUMBER OF REVIEWS </a:t>
            </a:r>
          </a:p>
        </c:rich>
      </c:tx>
      <c:layout>
        <c:manualLayout>
          <c:xMode val="edge"/>
          <c:yMode val="edge"/>
          <c:x val="7.6975121713986225E-2"/>
          <c:y val="0.2514509629958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'!$B$5</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'!$A$6:$A$52</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'TREND '!$B$6:$B$52</c:f>
              <c:numCache>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pt idx="44">
                  <c:v>0</c:v>
                </c:pt>
                <c:pt idx="45">
                  <c:v>0</c:v>
                </c:pt>
              </c:numCache>
            </c:numRef>
          </c:val>
          <c:smooth val="0"/>
          <c:extLst>
            <c:ext xmlns:c16="http://schemas.microsoft.com/office/drawing/2014/chart" uri="{C3380CC4-5D6E-409C-BE32-E72D297353CC}">
              <c16:uniqueId val="{00000000-D887-478A-9DBB-6F72A9FCA419}"/>
            </c:ext>
          </c:extLst>
        </c:ser>
        <c:dLbls>
          <c:showLegendKey val="0"/>
          <c:showVal val="0"/>
          <c:showCatName val="0"/>
          <c:showSerName val="0"/>
          <c:showPercent val="0"/>
          <c:showBubbleSize val="0"/>
        </c:dLbls>
        <c:marker val="1"/>
        <c:smooth val="0"/>
        <c:axId val="1011822959"/>
        <c:axId val="1011825039"/>
      </c:lineChart>
      <c:catAx>
        <c:axId val="101182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5039"/>
        <c:crosses val="autoZero"/>
        <c:auto val="1"/>
        <c:lblAlgn val="ctr"/>
        <c:lblOffset val="100"/>
        <c:noMultiLvlLbl val="0"/>
      </c:catAx>
      <c:valAx>
        <c:axId val="101182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ANALYSIS.xlsx]TREND !PivotTable11</c:name>
    <c:fmtId val="2"/>
  </c:pivotSource>
  <c:chart>
    <c:title>
      <c:tx>
        <c:rich>
          <a:bodyPr rot="0" spcFirstLastPara="1" vertOverflow="ellipsis" vert="horz" wrap="square" anchor="ctr" anchorCtr="1"/>
          <a:lstStyle/>
          <a:p>
            <a:pPr algn="l">
              <a:defRPr sz="1400" b="0" i="0" u="none" strike="noStrike" kern="1200" spc="0" baseline="0">
                <a:solidFill>
                  <a:srgbClr val="7030A0"/>
                </a:solidFill>
                <a:latin typeface="+mn-lt"/>
                <a:ea typeface="+mn-ea"/>
                <a:cs typeface="+mn-cs"/>
              </a:defRPr>
            </a:pPr>
            <a:r>
              <a:rPr lang="en-US" b="1">
                <a:solidFill>
                  <a:srgbClr val="7030A0"/>
                </a:solidFill>
              </a:rPr>
              <a:t>RATING</a:t>
            </a:r>
            <a:r>
              <a:rPr lang="en-US" b="1" baseline="0">
                <a:solidFill>
                  <a:srgbClr val="7030A0"/>
                </a:solidFill>
              </a:rPr>
              <a:t> BY NUMBER OF REVIEWS</a:t>
            </a:r>
          </a:p>
          <a:p>
            <a:pPr algn="l">
              <a:defRPr>
                <a:solidFill>
                  <a:srgbClr val="7030A0"/>
                </a:solidFill>
              </a:defRPr>
            </a:pPr>
            <a:endParaRPr lang="en-US">
              <a:solidFill>
                <a:srgbClr val="7030A0"/>
              </a:solidFill>
            </a:endParaRPr>
          </a:p>
        </c:rich>
      </c:tx>
      <c:layout>
        <c:manualLayout>
          <c:xMode val="edge"/>
          <c:yMode val="edge"/>
          <c:x val="0.11010727303386821"/>
          <c:y val="0.197330652817334"/>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'!$B$60</c:f>
              <c:strCache>
                <c:ptCount val="1"/>
                <c:pt idx="0">
                  <c:v>Sum of Rating</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'TREND '!$B$61</c:f>
              <c:strCache>
                <c:ptCount val="1"/>
                <c:pt idx="0">
                  <c:v>Total</c:v>
                </c:pt>
              </c:strCache>
            </c:strRef>
          </c:cat>
          <c:val>
            <c:numRef>
              <c:f>'TREND '!$B$61</c:f>
              <c:numCache>
                <c:formatCode>General</c:formatCode>
                <c:ptCount val="1"/>
                <c:pt idx="0">
                  <c:v>422.64220183486299</c:v>
                </c:pt>
              </c:numCache>
            </c:numRef>
          </c:val>
          <c:extLst>
            <c:ext xmlns:c16="http://schemas.microsoft.com/office/drawing/2014/chart" uri="{C3380CC4-5D6E-409C-BE32-E72D297353CC}">
              <c16:uniqueId val="{00000001-371B-4EC8-98A2-51D5F0CD3501}"/>
            </c:ext>
          </c:extLst>
        </c:ser>
        <c:ser>
          <c:idx val="1"/>
          <c:order val="1"/>
          <c:tx>
            <c:strRef>
              <c:f>'TREND '!$C$60</c:f>
              <c:strCache>
                <c:ptCount val="1"/>
                <c:pt idx="0">
                  <c:v>Sum of Review 2</c:v>
                </c:pt>
              </c:strCache>
            </c:strRef>
          </c:tx>
          <c:spPr>
            <a:solidFill>
              <a:schemeClr val="accent2"/>
            </a:solidFill>
            <a:ln>
              <a:noFill/>
            </a:ln>
            <a:effectLst/>
          </c:spPr>
          <c:invertIfNegative val="0"/>
          <c:cat>
            <c:strRef>
              <c:f>'TREND '!$B$61</c:f>
              <c:strCache>
                <c:ptCount val="1"/>
                <c:pt idx="0">
                  <c:v>Total</c:v>
                </c:pt>
              </c:strCache>
            </c:strRef>
          </c:cat>
          <c:val>
            <c:numRef>
              <c:f>'TREND '!$C$61</c:f>
              <c:numCache>
                <c:formatCode>General</c:formatCode>
                <c:ptCount val="1"/>
                <c:pt idx="0">
                  <c:v>723</c:v>
                </c:pt>
              </c:numCache>
            </c:numRef>
          </c:val>
          <c:extLst>
            <c:ext xmlns:c16="http://schemas.microsoft.com/office/drawing/2014/chart" uri="{C3380CC4-5D6E-409C-BE32-E72D297353CC}">
              <c16:uniqueId val="{00000002-371B-4EC8-98A2-51D5F0CD3501}"/>
            </c:ext>
          </c:extLst>
        </c:ser>
        <c:dLbls>
          <c:showLegendKey val="0"/>
          <c:showVal val="0"/>
          <c:showCatName val="0"/>
          <c:showSerName val="0"/>
          <c:showPercent val="0"/>
          <c:showBubbleSize val="0"/>
        </c:dLbls>
        <c:gapWidth val="219"/>
        <c:axId val="1007400783"/>
        <c:axId val="1007404111"/>
      </c:barChart>
      <c:catAx>
        <c:axId val="10074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04111"/>
        <c:crosses val="autoZero"/>
        <c:auto val="1"/>
        <c:lblAlgn val="ctr"/>
        <c:lblOffset val="100"/>
        <c:noMultiLvlLbl val="0"/>
      </c:catAx>
      <c:valAx>
        <c:axId val="100740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030A0"/>
                </a:solidFill>
              </a:rPr>
              <a:t>PRODUCT</a:t>
            </a:r>
            <a:r>
              <a:rPr lang="en-US" sz="1400" b="0" baseline="0">
                <a:solidFill>
                  <a:srgbClr val="7030A0"/>
                </a:solidFill>
              </a:rPr>
              <a:t> </a:t>
            </a:r>
            <a:r>
              <a:rPr lang="en-US" sz="1400" b="1" baseline="0">
                <a:solidFill>
                  <a:srgbClr val="7030A0"/>
                </a:solidFill>
              </a:rPr>
              <a:t>BY RATING</a:t>
            </a:r>
            <a:endParaRPr lang="en-US" sz="1400" b="1">
              <a:solidFill>
                <a:srgbClr val="7030A0"/>
              </a:solidFill>
            </a:endParaRPr>
          </a:p>
        </c:rich>
      </c:tx>
      <c:layout>
        <c:manualLayout>
          <c:xMode val="edge"/>
          <c:yMode val="edge"/>
          <c:x val="0.22392079850100893"/>
          <c:y val="0.22009394223797815"/>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
        <c:idx val="86"/>
        <c:spPr>
          <a:solidFill>
            <a:schemeClr val="accent1"/>
          </a:solidFill>
          <a:ln>
            <a:noFill/>
          </a:ln>
          <a:effectLst/>
          <a:sp3d/>
        </c:spPr>
      </c:pivotFmt>
      <c:pivotFmt>
        <c:idx val="87"/>
        <c:spPr>
          <a:solidFill>
            <a:schemeClr val="accent1"/>
          </a:solidFill>
          <a:ln>
            <a:noFill/>
          </a:ln>
          <a:effectLst/>
          <a:sp3d/>
        </c:spPr>
      </c:pivotFmt>
      <c:pivotFmt>
        <c:idx val="88"/>
        <c:spPr>
          <a:solidFill>
            <a:schemeClr val="accent1"/>
          </a:solidFill>
          <a:ln>
            <a:noFill/>
          </a:ln>
          <a:effectLst/>
          <a:sp3d/>
        </c:spPr>
      </c:pivotFmt>
      <c:pivotFmt>
        <c:idx val="89"/>
        <c:spPr>
          <a:solidFill>
            <a:schemeClr val="accent1"/>
          </a:solidFill>
          <a:ln>
            <a:noFill/>
          </a:ln>
          <a:effectLst/>
          <a:sp3d/>
        </c:spPr>
      </c:pivotFmt>
      <c:pivotFmt>
        <c:idx val="90"/>
        <c:spPr>
          <a:solidFill>
            <a:schemeClr val="accent1"/>
          </a:solidFill>
          <a:ln>
            <a:noFill/>
          </a:ln>
          <a:effectLst/>
          <a:sp3d/>
        </c:spPr>
      </c:pivotFmt>
      <c:pivotFmt>
        <c:idx val="91"/>
        <c:spPr>
          <a:solidFill>
            <a:schemeClr val="accent1"/>
          </a:solidFill>
          <a:ln>
            <a:noFill/>
          </a:ln>
          <a:effectLst/>
          <a:sp3d/>
        </c:spPr>
      </c:pivotFmt>
      <c:pivotFmt>
        <c:idx val="92"/>
        <c:spPr>
          <a:solidFill>
            <a:schemeClr val="accent1"/>
          </a:solidFill>
          <a:ln>
            <a:noFill/>
          </a:ln>
          <a:effectLst/>
          <a:sp3d/>
        </c:spPr>
      </c:pivotFmt>
      <c:pivotFmt>
        <c:idx val="93"/>
        <c:spPr>
          <a:solidFill>
            <a:schemeClr val="accent1"/>
          </a:solidFill>
          <a:ln>
            <a:noFill/>
          </a:ln>
          <a:effectLst/>
          <a:sp3d/>
        </c:spPr>
      </c:pivotFmt>
      <c:pivotFmt>
        <c:idx val="94"/>
        <c:spPr>
          <a:solidFill>
            <a:schemeClr val="accent1"/>
          </a:solidFill>
          <a:ln>
            <a:noFill/>
          </a:ln>
          <a:effectLst/>
          <a:sp3d/>
        </c:spPr>
      </c:pivotFmt>
      <c:pivotFmt>
        <c:idx val="95"/>
        <c:spPr>
          <a:solidFill>
            <a:schemeClr val="accent1"/>
          </a:solidFill>
          <a:ln>
            <a:noFill/>
          </a:ln>
          <a:effectLst/>
          <a:sp3d/>
        </c:spPr>
      </c:pivotFmt>
      <c:pivotFmt>
        <c:idx val="96"/>
        <c:spPr>
          <a:solidFill>
            <a:schemeClr val="accent1"/>
          </a:solidFill>
          <a:ln>
            <a:noFill/>
          </a:ln>
          <a:effectLst/>
          <a:sp3d/>
        </c:spPr>
      </c:pivotFmt>
      <c:pivotFmt>
        <c:idx val="97"/>
        <c:spPr>
          <a:solidFill>
            <a:schemeClr val="accent1"/>
          </a:solidFill>
          <a:ln>
            <a:noFill/>
          </a:ln>
          <a:effectLst/>
          <a:sp3d/>
        </c:spPr>
      </c:pivotFmt>
      <c:pivotFmt>
        <c:idx val="98"/>
        <c:spPr>
          <a:solidFill>
            <a:schemeClr val="accent1"/>
          </a:solidFill>
          <a:ln>
            <a:noFill/>
          </a:ln>
          <a:effectLst/>
          <a:sp3d/>
        </c:spPr>
      </c:pivotFmt>
      <c:pivotFmt>
        <c:idx val="99"/>
        <c:spPr>
          <a:solidFill>
            <a:schemeClr val="accent1"/>
          </a:solidFill>
          <a:ln>
            <a:noFill/>
          </a:ln>
          <a:effectLst/>
          <a:sp3d/>
        </c:spPr>
      </c:pivotFmt>
      <c:pivotFmt>
        <c:idx val="100"/>
        <c:spPr>
          <a:solidFill>
            <a:schemeClr val="accent1"/>
          </a:solidFill>
          <a:ln>
            <a:noFill/>
          </a:ln>
          <a:effectLst/>
          <a:sp3d/>
        </c:spPr>
      </c:pivotFmt>
      <c:pivotFmt>
        <c:idx val="101"/>
        <c:spPr>
          <a:solidFill>
            <a:schemeClr val="accent1"/>
          </a:solidFill>
          <a:ln>
            <a:noFill/>
          </a:ln>
          <a:effectLst/>
          <a:sp3d/>
        </c:spPr>
      </c:pivotFmt>
      <c:pivotFmt>
        <c:idx val="102"/>
        <c:spPr>
          <a:solidFill>
            <a:schemeClr val="accent1"/>
          </a:solidFill>
          <a:ln>
            <a:noFill/>
          </a:ln>
          <a:effectLst/>
          <a:sp3d/>
        </c:spPr>
      </c:pivotFmt>
      <c:pivotFmt>
        <c:idx val="103"/>
        <c:spPr>
          <a:solidFill>
            <a:schemeClr val="accent1"/>
          </a:solidFill>
          <a:ln>
            <a:noFill/>
          </a:ln>
          <a:effectLst/>
          <a:sp3d/>
        </c:spPr>
      </c:pivotFmt>
      <c:pivotFmt>
        <c:idx val="104"/>
        <c:spPr>
          <a:solidFill>
            <a:schemeClr val="accent1"/>
          </a:solidFill>
          <a:ln>
            <a:noFill/>
          </a:ln>
          <a:effectLst/>
          <a:sp3d/>
        </c:spPr>
      </c:pivotFmt>
      <c:pivotFmt>
        <c:idx val="105"/>
        <c:spPr>
          <a:solidFill>
            <a:schemeClr val="accent1"/>
          </a:solidFill>
          <a:ln>
            <a:noFill/>
          </a:ln>
          <a:effectLst/>
          <a:sp3d/>
        </c:spPr>
      </c:pivotFmt>
      <c:pivotFmt>
        <c:idx val="106"/>
        <c:spPr>
          <a:solidFill>
            <a:schemeClr val="accent1"/>
          </a:solidFill>
          <a:ln>
            <a:noFill/>
          </a:ln>
          <a:effectLst/>
          <a:sp3d/>
        </c:spPr>
      </c:pivotFmt>
      <c:pivotFmt>
        <c:idx val="107"/>
        <c:spPr>
          <a:solidFill>
            <a:schemeClr val="accent1"/>
          </a:solidFill>
          <a:ln>
            <a:noFill/>
          </a:ln>
          <a:effectLst/>
          <a:sp3d/>
        </c:spPr>
      </c:pivotFmt>
      <c:pivotFmt>
        <c:idx val="108"/>
        <c:spPr>
          <a:solidFill>
            <a:schemeClr val="accent1"/>
          </a:solidFill>
          <a:ln>
            <a:noFill/>
          </a:ln>
          <a:effectLst/>
          <a:sp3d/>
        </c:spPr>
      </c:pivotFmt>
      <c:pivotFmt>
        <c:idx val="109"/>
        <c:spPr>
          <a:solidFill>
            <a:schemeClr val="accent1"/>
          </a:solidFill>
          <a:ln>
            <a:noFill/>
          </a:ln>
          <a:effectLst/>
          <a:sp3d/>
        </c:spPr>
      </c:pivotFmt>
      <c:pivotFmt>
        <c:idx val="110"/>
        <c:spPr>
          <a:solidFill>
            <a:schemeClr val="accent1"/>
          </a:solidFill>
          <a:ln>
            <a:noFill/>
          </a:ln>
          <a:effectLst/>
          <a:sp3d/>
        </c:spPr>
      </c:pivotFmt>
      <c:pivotFmt>
        <c:idx val="111"/>
        <c:spPr>
          <a:solidFill>
            <a:schemeClr val="accent1"/>
          </a:solidFill>
          <a:ln>
            <a:noFill/>
          </a:ln>
          <a:effectLst/>
          <a:sp3d/>
        </c:spPr>
      </c:pivotFmt>
      <c:pivotFmt>
        <c:idx val="112"/>
        <c:spPr>
          <a:solidFill>
            <a:schemeClr val="accent1"/>
          </a:solidFill>
          <a:ln>
            <a:noFill/>
          </a:ln>
          <a:effectLst/>
          <a:sp3d/>
        </c:spPr>
      </c:pivotFmt>
      <c:pivotFmt>
        <c:idx val="113"/>
        <c:spPr>
          <a:solidFill>
            <a:schemeClr val="accent1"/>
          </a:solidFill>
          <a:ln>
            <a:noFill/>
          </a:ln>
          <a:effectLst/>
          <a:sp3d/>
        </c:spPr>
      </c:pivotFmt>
      <c:pivotFmt>
        <c:idx val="114"/>
        <c:spPr>
          <a:solidFill>
            <a:schemeClr val="accent1"/>
          </a:solidFill>
          <a:ln>
            <a:noFill/>
          </a:ln>
          <a:effectLst/>
          <a:sp3d/>
        </c:spPr>
      </c:pivotFmt>
      <c:pivotFmt>
        <c:idx val="1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pivotFmt>
      <c:pivotFmt>
        <c:idx val="117"/>
        <c:spPr>
          <a:solidFill>
            <a:schemeClr val="accent1"/>
          </a:solidFill>
          <a:ln>
            <a:noFill/>
          </a:ln>
          <a:effectLst/>
          <a:sp3d/>
        </c:spPr>
      </c:pivotFmt>
      <c:pivotFmt>
        <c:idx val="118"/>
        <c:spPr>
          <a:solidFill>
            <a:schemeClr val="accent1"/>
          </a:solidFill>
          <a:ln>
            <a:noFill/>
          </a:ln>
          <a:effectLst/>
          <a:sp3d/>
        </c:spPr>
      </c:pivotFmt>
      <c:pivotFmt>
        <c:idx val="119"/>
        <c:spPr>
          <a:solidFill>
            <a:schemeClr val="accent1"/>
          </a:solidFill>
          <a:ln>
            <a:noFill/>
          </a:ln>
          <a:effectLst/>
          <a:sp3d/>
        </c:spPr>
      </c:pivotFmt>
      <c:pivotFmt>
        <c:idx val="120"/>
        <c:spPr>
          <a:solidFill>
            <a:schemeClr val="accent1"/>
          </a:solidFill>
          <a:ln>
            <a:noFill/>
          </a:ln>
          <a:effectLst/>
          <a:sp3d/>
        </c:spPr>
      </c:pivotFmt>
      <c:pivotFmt>
        <c:idx val="121"/>
        <c:spPr>
          <a:solidFill>
            <a:schemeClr val="accent1"/>
          </a:solidFill>
          <a:ln>
            <a:noFill/>
          </a:ln>
          <a:effectLst/>
          <a:sp3d/>
        </c:spPr>
      </c:pivotFmt>
      <c:pivotFmt>
        <c:idx val="122"/>
        <c:spPr>
          <a:solidFill>
            <a:schemeClr val="accent1"/>
          </a:solidFill>
          <a:ln>
            <a:noFill/>
          </a:ln>
          <a:effectLst/>
          <a:sp3d/>
        </c:spPr>
      </c:pivotFmt>
      <c:pivotFmt>
        <c:idx val="123"/>
        <c:spPr>
          <a:solidFill>
            <a:schemeClr val="accent1"/>
          </a:solidFill>
          <a:ln>
            <a:noFill/>
          </a:ln>
          <a:effectLst/>
          <a:sp3d/>
        </c:spPr>
      </c:pivotFmt>
      <c:pivotFmt>
        <c:idx val="124"/>
        <c:spPr>
          <a:solidFill>
            <a:schemeClr val="accent1"/>
          </a:solidFill>
          <a:ln>
            <a:noFill/>
          </a:ln>
          <a:effectLst/>
          <a:sp3d/>
        </c:spPr>
      </c:pivotFmt>
      <c:pivotFmt>
        <c:idx val="125"/>
        <c:spPr>
          <a:solidFill>
            <a:schemeClr val="accent1"/>
          </a:solidFill>
          <a:ln>
            <a:noFill/>
          </a:ln>
          <a:effectLst/>
          <a:sp3d/>
        </c:spPr>
      </c:pivotFmt>
      <c:pivotFmt>
        <c:idx val="126"/>
        <c:spPr>
          <a:solidFill>
            <a:schemeClr val="accent1"/>
          </a:solidFill>
          <a:ln>
            <a:noFill/>
          </a:ln>
          <a:effectLst/>
          <a:sp3d/>
        </c:spPr>
      </c:pivotFmt>
      <c:pivotFmt>
        <c:idx val="127"/>
        <c:spPr>
          <a:solidFill>
            <a:schemeClr val="accent1"/>
          </a:solidFill>
          <a:ln>
            <a:noFill/>
          </a:ln>
          <a:effectLst/>
          <a:sp3d/>
        </c:spPr>
      </c:pivotFmt>
      <c:pivotFmt>
        <c:idx val="128"/>
        <c:spPr>
          <a:solidFill>
            <a:schemeClr val="accent1"/>
          </a:solidFill>
          <a:ln>
            <a:noFill/>
          </a:ln>
          <a:effectLst/>
          <a:sp3d/>
        </c:spPr>
      </c:pivotFmt>
      <c:pivotFmt>
        <c:idx val="129"/>
        <c:spPr>
          <a:solidFill>
            <a:schemeClr val="accent1"/>
          </a:solidFill>
          <a:ln>
            <a:noFill/>
          </a:ln>
          <a:effectLst/>
          <a:sp3d/>
        </c:spPr>
      </c:pivotFmt>
      <c:pivotFmt>
        <c:idx val="130"/>
        <c:spPr>
          <a:solidFill>
            <a:schemeClr val="accent1"/>
          </a:solidFill>
          <a:ln>
            <a:noFill/>
          </a:ln>
          <a:effectLst/>
          <a:sp3d/>
        </c:spPr>
      </c:pivotFmt>
      <c:pivotFmt>
        <c:idx val="131"/>
        <c:spPr>
          <a:solidFill>
            <a:schemeClr val="accent1"/>
          </a:solidFill>
          <a:ln>
            <a:noFill/>
          </a:ln>
          <a:effectLst/>
          <a:sp3d/>
        </c:spPr>
      </c:pivotFmt>
      <c:pivotFmt>
        <c:idx val="132"/>
        <c:spPr>
          <a:solidFill>
            <a:schemeClr val="accent1"/>
          </a:solidFill>
          <a:ln>
            <a:noFill/>
          </a:ln>
          <a:effectLst/>
          <a:sp3d/>
        </c:spPr>
      </c:pivotFmt>
      <c:pivotFmt>
        <c:idx val="133"/>
        <c:spPr>
          <a:solidFill>
            <a:schemeClr val="accent1"/>
          </a:solidFill>
          <a:ln>
            <a:noFill/>
          </a:ln>
          <a:effectLst/>
          <a:sp3d/>
        </c:spPr>
      </c:pivotFmt>
      <c:pivotFmt>
        <c:idx val="134"/>
        <c:spPr>
          <a:solidFill>
            <a:schemeClr val="accent1"/>
          </a:solidFill>
          <a:ln>
            <a:noFill/>
          </a:ln>
          <a:effectLst/>
          <a:sp3d/>
        </c:spPr>
      </c:pivotFmt>
      <c:pivotFmt>
        <c:idx val="135"/>
        <c:spPr>
          <a:solidFill>
            <a:schemeClr val="accent1"/>
          </a:solidFill>
          <a:ln>
            <a:noFill/>
          </a:ln>
          <a:effectLst/>
          <a:sp3d/>
        </c:spPr>
      </c:pivotFmt>
      <c:pivotFmt>
        <c:idx val="136"/>
        <c:spPr>
          <a:solidFill>
            <a:schemeClr val="accent1"/>
          </a:solidFill>
          <a:ln>
            <a:noFill/>
          </a:ln>
          <a:effectLst/>
          <a:sp3d/>
        </c:spPr>
      </c:pivotFmt>
      <c:pivotFmt>
        <c:idx val="137"/>
        <c:spPr>
          <a:solidFill>
            <a:schemeClr val="accent1"/>
          </a:solidFill>
          <a:ln>
            <a:noFill/>
          </a:ln>
          <a:effectLst/>
          <a:sp3d/>
        </c:spPr>
      </c:pivotFmt>
      <c:pivotFmt>
        <c:idx val="138"/>
        <c:spPr>
          <a:solidFill>
            <a:schemeClr val="accent1"/>
          </a:solidFill>
          <a:ln>
            <a:noFill/>
          </a:ln>
          <a:effectLst/>
          <a:sp3d/>
        </c:spPr>
      </c:pivotFmt>
      <c:pivotFmt>
        <c:idx val="139"/>
        <c:spPr>
          <a:solidFill>
            <a:schemeClr val="accent1"/>
          </a:solidFill>
          <a:ln>
            <a:noFill/>
          </a:ln>
          <a:effectLst/>
          <a:sp3d/>
        </c:spPr>
      </c:pivotFmt>
      <c:pivotFmt>
        <c:idx val="140"/>
        <c:spPr>
          <a:solidFill>
            <a:schemeClr val="accent1"/>
          </a:solidFill>
          <a:ln>
            <a:noFill/>
          </a:ln>
          <a:effectLst/>
          <a:sp3d/>
        </c:spPr>
      </c:pivotFmt>
      <c:pivotFmt>
        <c:idx val="141"/>
        <c:spPr>
          <a:solidFill>
            <a:schemeClr val="accent1"/>
          </a:solidFill>
          <a:ln>
            <a:noFill/>
          </a:ln>
          <a:effectLst/>
          <a:sp3d/>
        </c:spPr>
      </c:pivotFmt>
      <c:pivotFmt>
        <c:idx val="142"/>
        <c:spPr>
          <a:solidFill>
            <a:schemeClr val="accent1"/>
          </a:solidFill>
          <a:ln>
            <a:noFill/>
          </a:ln>
          <a:effectLst/>
          <a:sp3d/>
        </c:spPr>
      </c:pivotFmt>
      <c:pivotFmt>
        <c:idx val="143"/>
        <c:spPr>
          <a:solidFill>
            <a:schemeClr val="accent1"/>
          </a:solidFill>
          <a:ln>
            <a:noFill/>
          </a:ln>
          <a:effectLst/>
          <a:sp3d/>
        </c:spPr>
      </c:pivotFmt>
      <c:pivotFmt>
        <c:idx val="144"/>
        <c:spPr>
          <a:solidFill>
            <a:schemeClr val="accent1"/>
          </a:solidFill>
          <a:ln>
            <a:noFill/>
          </a:ln>
          <a:effectLst/>
          <a:sp3d/>
        </c:spPr>
      </c:pivotFmt>
      <c:pivotFmt>
        <c:idx val="145"/>
        <c:spPr>
          <a:solidFill>
            <a:schemeClr val="accent1"/>
          </a:solidFill>
          <a:ln>
            <a:noFill/>
          </a:ln>
          <a:effectLst/>
          <a:sp3d/>
        </c:spPr>
      </c:pivotFmt>
      <c:pivotFmt>
        <c:idx val="146"/>
        <c:spPr>
          <a:solidFill>
            <a:schemeClr val="accent1"/>
          </a:solidFill>
          <a:ln>
            <a:noFill/>
          </a:ln>
          <a:effectLst/>
          <a:sp3d/>
        </c:spPr>
      </c:pivotFmt>
      <c:pivotFmt>
        <c:idx val="147"/>
        <c:spPr>
          <a:solidFill>
            <a:schemeClr val="accent1"/>
          </a:solidFill>
          <a:ln>
            <a:noFill/>
          </a:ln>
          <a:effectLst/>
          <a:sp3d/>
        </c:spPr>
      </c:pivotFmt>
      <c:pivotFmt>
        <c:idx val="148"/>
        <c:spPr>
          <a:solidFill>
            <a:schemeClr val="accent1"/>
          </a:solidFill>
          <a:ln>
            <a:noFill/>
          </a:ln>
          <a:effectLst/>
          <a:sp3d/>
        </c:spPr>
      </c:pivotFmt>
      <c:pivotFmt>
        <c:idx val="149"/>
        <c:spPr>
          <a:solidFill>
            <a:schemeClr val="accent1"/>
          </a:solidFill>
          <a:ln>
            <a:noFill/>
          </a:ln>
          <a:effectLst/>
          <a:sp3d/>
        </c:spPr>
      </c:pivotFmt>
      <c:pivotFmt>
        <c:idx val="150"/>
        <c:spPr>
          <a:solidFill>
            <a:schemeClr val="accent1"/>
          </a:solidFill>
          <a:ln>
            <a:noFill/>
          </a:ln>
          <a:effectLst/>
          <a:sp3d/>
        </c:spPr>
      </c:pivotFmt>
      <c:pivotFmt>
        <c:idx val="151"/>
        <c:spPr>
          <a:solidFill>
            <a:schemeClr val="accent1"/>
          </a:solidFill>
          <a:ln>
            <a:noFill/>
          </a:ln>
          <a:effectLst/>
          <a:sp3d/>
        </c:spPr>
      </c:pivotFmt>
      <c:pivotFmt>
        <c:idx val="152"/>
        <c:spPr>
          <a:solidFill>
            <a:schemeClr val="accent1"/>
          </a:solidFill>
          <a:ln>
            <a:noFill/>
          </a:ln>
          <a:effectLst/>
          <a:sp3d/>
        </c:spPr>
      </c:pivotFmt>
      <c:pivotFmt>
        <c:idx val="153"/>
        <c:spPr>
          <a:solidFill>
            <a:schemeClr val="accent1"/>
          </a:solidFill>
          <a:ln>
            <a:noFill/>
          </a:ln>
          <a:effectLst/>
          <a:sp3d/>
        </c:spPr>
      </c:pivotFmt>
      <c:pivotFmt>
        <c:idx val="154"/>
        <c:spPr>
          <a:solidFill>
            <a:schemeClr val="accent1"/>
          </a:solidFill>
          <a:ln>
            <a:noFill/>
          </a:ln>
          <a:effectLst/>
          <a:sp3d/>
        </c:spPr>
      </c:pivotFmt>
      <c:pivotFmt>
        <c:idx val="155"/>
        <c:spPr>
          <a:solidFill>
            <a:schemeClr val="accent1"/>
          </a:solidFill>
          <a:ln>
            <a:noFill/>
          </a:ln>
          <a:effectLst/>
          <a:sp3d/>
        </c:spPr>
      </c:pivotFmt>
      <c:pivotFmt>
        <c:idx val="156"/>
        <c:spPr>
          <a:solidFill>
            <a:schemeClr val="accent1"/>
          </a:solidFill>
          <a:ln>
            <a:noFill/>
          </a:ln>
          <a:effectLst/>
          <a:sp3d/>
        </c:spPr>
      </c:pivotFmt>
      <c:pivotFmt>
        <c:idx val="157"/>
        <c:spPr>
          <a:solidFill>
            <a:schemeClr val="accent1"/>
          </a:solidFill>
          <a:ln>
            <a:noFill/>
          </a:ln>
          <a:effectLst/>
          <a:sp3d/>
        </c:spPr>
      </c:pivotFmt>
      <c:pivotFmt>
        <c:idx val="158"/>
        <c:spPr>
          <a:solidFill>
            <a:schemeClr val="accent1"/>
          </a:solidFill>
          <a:ln>
            <a:noFill/>
          </a:ln>
          <a:effectLst/>
          <a:sp3d/>
        </c:spPr>
      </c:pivotFmt>
      <c:pivotFmt>
        <c:idx val="159"/>
        <c:spPr>
          <a:solidFill>
            <a:schemeClr val="accent1"/>
          </a:solidFill>
          <a:ln>
            <a:noFill/>
          </a:ln>
          <a:effectLst/>
          <a:sp3d/>
        </c:spPr>
      </c:pivotFmt>
      <c:pivotFmt>
        <c:idx val="160"/>
        <c:spPr>
          <a:solidFill>
            <a:schemeClr val="accent1"/>
          </a:solidFill>
          <a:ln>
            <a:noFill/>
          </a:ln>
          <a:effectLst/>
          <a:sp3d/>
        </c:spPr>
      </c:pivotFmt>
      <c:pivotFmt>
        <c:idx val="161"/>
        <c:spPr>
          <a:solidFill>
            <a:schemeClr val="accent1"/>
          </a:solidFill>
          <a:ln>
            <a:noFill/>
          </a:ln>
          <a:effectLst/>
          <a:sp3d/>
        </c:spPr>
      </c:pivotFmt>
      <c:pivotFmt>
        <c:idx val="162"/>
        <c:spPr>
          <a:solidFill>
            <a:schemeClr val="accent1"/>
          </a:solidFill>
          <a:ln>
            <a:noFill/>
          </a:ln>
          <a:effectLst/>
          <a:sp3d/>
        </c:spPr>
      </c:pivotFmt>
      <c:pivotFmt>
        <c:idx val="163"/>
        <c:spPr>
          <a:solidFill>
            <a:schemeClr val="accent1"/>
          </a:solidFill>
          <a:ln>
            <a:noFill/>
          </a:ln>
          <a:effectLst/>
          <a:sp3d/>
        </c:spPr>
      </c:pivotFmt>
      <c:pivotFmt>
        <c:idx val="164"/>
        <c:spPr>
          <a:solidFill>
            <a:schemeClr val="accent1"/>
          </a:solidFill>
          <a:ln>
            <a:noFill/>
          </a:ln>
          <a:effectLst/>
          <a:sp3d/>
        </c:spPr>
      </c:pivotFmt>
      <c:pivotFmt>
        <c:idx val="165"/>
        <c:spPr>
          <a:solidFill>
            <a:schemeClr val="accent1"/>
          </a:solidFill>
          <a:ln>
            <a:noFill/>
          </a:ln>
          <a:effectLst/>
          <a:sp3d/>
        </c:spPr>
      </c:pivotFmt>
      <c:pivotFmt>
        <c:idx val="166"/>
        <c:spPr>
          <a:solidFill>
            <a:schemeClr val="accent1"/>
          </a:solidFill>
          <a:ln>
            <a:noFill/>
          </a:ln>
          <a:effectLst/>
          <a:sp3d/>
        </c:spPr>
      </c:pivotFmt>
      <c:pivotFmt>
        <c:idx val="167"/>
        <c:spPr>
          <a:solidFill>
            <a:schemeClr val="accent1"/>
          </a:solidFill>
          <a:ln>
            <a:noFill/>
          </a:ln>
          <a:effectLst/>
          <a:sp3d/>
        </c:spPr>
      </c:pivotFmt>
      <c:pivotFmt>
        <c:idx val="168"/>
        <c:spPr>
          <a:solidFill>
            <a:schemeClr val="accent1"/>
          </a:solidFill>
          <a:ln>
            <a:noFill/>
          </a:ln>
          <a:effectLst/>
          <a:sp3d/>
        </c:spPr>
      </c:pivotFmt>
      <c:pivotFmt>
        <c:idx val="169"/>
        <c:spPr>
          <a:solidFill>
            <a:schemeClr val="accent1"/>
          </a:solidFill>
          <a:ln>
            <a:noFill/>
          </a:ln>
          <a:effectLst/>
          <a:sp3d/>
        </c:spPr>
      </c:pivotFmt>
      <c:pivotFmt>
        <c:idx val="170"/>
        <c:spPr>
          <a:solidFill>
            <a:schemeClr val="accent1"/>
          </a:solidFill>
          <a:ln>
            <a:noFill/>
          </a:ln>
          <a:effectLst/>
          <a:sp3d/>
        </c:spPr>
      </c:pivotFmt>
      <c:pivotFmt>
        <c:idx val="171"/>
        <c:spPr>
          <a:solidFill>
            <a:schemeClr val="accent1"/>
          </a:solidFill>
          <a:ln>
            <a:noFill/>
          </a:ln>
          <a:effectLst/>
          <a:sp3d/>
        </c:spPr>
      </c:pivotFmt>
      <c:pivotFmt>
        <c:idx val="172"/>
        <c:spPr>
          <a:solidFill>
            <a:schemeClr val="accent1"/>
          </a:solidFill>
          <a:ln>
            <a:noFill/>
          </a:ln>
          <a:effectLst/>
          <a:sp3d/>
        </c:spPr>
      </c:pivotFmt>
      <c:pivotFmt>
        <c:idx val="173"/>
        <c:spPr>
          <a:solidFill>
            <a:schemeClr val="accent1"/>
          </a:solidFill>
          <a:ln>
            <a:noFill/>
          </a:ln>
          <a:effectLst/>
          <a:sp3d/>
        </c:spPr>
      </c:pivotFmt>
      <c:pivotFmt>
        <c:idx val="174"/>
        <c:spPr>
          <a:solidFill>
            <a:schemeClr val="accent1"/>
          </a:solidFill>
          <a:ln>
            <a:noFill/>
          </a:ln>
          <a:effectLst/>
          <a:sp3d/>
        </c:spPr>
      </c:pivotFmt>
      <c:pivotFmt>
        <c:idx val="175"/>
        <c:spPr>
          <a:solidFill>
            <a:schemeClr val="accent1"/>
          </a:solidFill>
          <a:ln>
            <a:noFill/>
          </a:ln>
          <a:effectLst/>
          <a:sp3d/>
        </c:spPr>
      </c:pivotFmt>
      <c:pivotFmt>
        <c:idx val="176"/>
        <c:spPr>
          <a:solidFill>
            <a:schemeClr val="accent1"/>
          </a:solidFill>
          <a:ln>
            <a:noFill/>
          </a:ln>
          <a:effectLst/>
          <a:sp3d/>
        </c:spPr>
      </c:pivotFmt>
      <c:pivotFmt>
        <c:idx val="177"/>
        <c:spPr>
          <a:solidFill>
            <a:schemeClr val="accent1"/>
          </a:solidFill>
          <a:ln>
            <a:noFill/>
          </a:ln>
          <a:effectLst/>
          <a:sp3d/>
        </c:spPr>
      </c:pivotFmt>
      <c:pivotFmt>
        <c:idx val="178"/>
        <c:spPr>
          <a:solidFill>
            <a:schemeClr val="accent1"/>
          </a:solidFill>
          <a:ln>
            <a:noFill/>
          </a:ln>
          <a:effectLst/>
          <a:sp3d/>
        </c:spPr>
      </c:pivotFmt>
      <c:pivotFmt>
        <c:idx val="179"/>
        <c:spPr>
          <a:solidFill>
            <a:schemeClr val="accent1"/>
          </a:solidFill>
          <a:ln>
            <a:noFill/>
          </a:ln>
          <a:effectLst/>
          <a:sp3d/>
        </c:spPr>
      </c:pivotFmt>
      <c:pivotFmt>
        <c:idx val="180"/>
        <c:spPr>
          <a:solidFill>
            <a:schemeClr val="accent1"/>
          </a:solidFill>
          <a:ln>
            <a:noFill/>
          </a:ln>
          <a:effectLst/>
          <a:sp3d/>
        </c:spPr>
      </c:pivotFmt>
      <c:pivotFmt>
        <c:idx val="181"/>
        <c:spPr>
          <a:solidFill>
            <a:schemeClr val="accent1"/>
          </a:solidFill>
          <a:ln>
            <a:noFill/>
          </a:ln>
          <a:effectLst/>
          <a:sp3d/>
        </c:spPr>
      </c:pivotFmt>
      <c:pivotFmt>
        <c:idx val="182"/>
        <c:spPr>
          <a:solidFill>
            <a:schemeClr val="accent1"/>
          </a:solidFill>
          <a:ln>
            <a:noFill/>
          </a:ln>
          <a:effectLst/>
          <a:sp3d/>
        </c:spPr>
      </c:pivotFmt>
      <c:pivotFmt>
        <c:idx val="183"/>
        <c:spPr>
          <a:solidFill>
            <a:schemeClr val="accent1"/>
          </a:solidFill>
          <a:ln>
            <a:noFill/>
          </a:ln>
          <a:effectLst/>
          <a:sp3d/>
        </c:spPr>
      </c:pivotFmt>
      <c:pivotFmt>
        <c:idx val="184"/>
        <c:spPr>
          <a:solidFill>
            <a:schemeClr val="accent1"/>
          </a:solidFill>
          <a:ln>
            <a:noFill/>
          </a:ln>
          <a:effectLst/>
          <a:sp3d/>
        </c:spPr>
      </c:pivotFmt>
      <c:pivotFmt>
        <c:idx val="185"/>
        <c:spPr>
          <a:solidFill>
            <a:schemeClr val="accent1"/>
          </a:solidFill>
          <a:ln>
            <a:noFill/>
          </a:ln>
          <a:effectLst/>
          <a:sp3d/>
        </c:spPr>
      </c:pivotFmt>
      <c:pivotFmt>
        <c:idx val="186"/>
        <c:spPr>
          <a:solidFill>
            <a:schemeClr val="accent1"/>
          </a:solidFill>
          <a:ln>
            <a:noFill/>
          </a:ln>
          <a:effectLst/>
          <a:sp3d/>
        </c:spPr>
      </c:pivotFmt>
      <c:pivotFmt>
        <c:idx val="187"/>
        <c:spPr>
          <a:solidFill>
            <a:schemeClr val="accent1"/>
          </a:solidFill>
          <a:ln>
            <a:noFill/>
          </a:ln>
          <a:effectLst/>
          <a:sp3d/>
        </c:spPr>
      </c:pivotFmt>
      <c:pivotFmt>
        <c:idx val="188"/>
        <c:spPr>
          <a:solidFill>
            <a:schemeClr val="accent1"/>
          </a:solidFill>
          <a:ln>
            <a:noFill/>
          </a:ln>
          <a:effectLst/>
          <a:sp3d/>
        </c:spPr>
      </c:pivotFmt>
      <c:pivotFmt>
        <c:idx val="189"/>
        <c:spPr>
          <a:solidFill>
            <a:schemeClr val="accent1"/>
          </a:solidFill>
          <a:ln>
            <a:noFill/>
          </a:ln>
          <a:effectLst/>
          <a:sp3d/>
        </c:spPr>
      </c:pivotFmt>
      <c:pivotFmt>
        <c:idx val="190"/>
        <c:spPr>
          <a:solidFill>
            <a:schemeClr val="accent1"/>
          </a:solidFill>
          <a:ln>
            <a:noFill/>
          </a:ln>
          <a:effectLst/>
          <a:sp3d/>
        </c:spPr>
      </c:pivotFmt>
      <c:pivotFmt>
        <c:idx val="191"/>
        <c:spPr>
          <a:solidFill>
            <a:schemeClr val="accent1"/>
          </a:solidFill>
          <a:ln>
            <a:noFill/>
          </a:ln>
          <a:effectLst/>
          <a:sp3d/>
        </c:spPr>
      </c:pivotFmt>
      <c:pivotFmt>
        <c:idx val="192"/>
        <c:spPr>
          <a:solidFill>
            <a:schemeClr val="accent1"/>
          </a:solidFill>
          <a:ln>
            <a:noFill/>
          </a:ln>
          <a:effectLst/>
          <a:sp3d/>
        </c:spPr>
      </c:pivotFmt>
      <c:pivotFmt>
        <c:idx val="193"/>
        <c:spPr>
          <a:solidFill>
            <a:schemeClr val="accent1"/>
          </a:solidFill>
          <a:ln>
            <a:noFill/>
          </a:ln>
          <a:effectLst/>
          <a:sp3d/>
        </c:spPr>
      </c:pivotFmt>
      <c:pivotFmt>
        <c:idx val="194"/>
        <c:spPr>
          <a:solidFill>
            <a:schemeClr val="accent1"/>
          </a:solidFill>
          <a:ln>
            <a:noFill/>
          </a:ln>
          <a:effectLst/>
          <a:sp3d/>
        </c:spPr>
      </c:pivotFmt>
      <c:pivotFmt>
        <c:idx val="195"/>
        <c:spPr>
          <a:solidFill>
            <a:schemeClr val="accent1"/>
          </a:solidFill>
          <a:ln>
            <a:noFill/>
          </a:ln>
          <a:effectLst/>
          <a:sp3d/>
        </c:spPr>
      </c:pivotFmt>
      <c:pivotFmt>
        <c:idx val="196"/>
        <c:spPr>
          <a:solidFill>
            <a:schemeClr val="accent1"/>
          </a:solidFill>
          <a:ln>
            <a:noFill/>
          </a:ln>
          <a:effectLst/>
          <a:sp3d/>
        </c:spPr>
      </c:pivotFmt>
      <c:pivotFmt>
        <c:idx val="197"/>
        <c:spPr>
          <a:solidFill>
            <a:schemeClr val="accent1"/>
          </a:solidFill>
          <a:ln>
            <a:noFill/>
          </a:ln>
          <a:effectLst/>
          <a:sp3d/>
        </c:spPr>
      </c:pivotFmt>
      <c:pivotFmt>
        <c:idx val="198"/>
        <c:spPr>
          <a:solidFill>
            <a:schemeClr val="accent1"/>
          </a:solidFill>
          <a:ln>
            <a:noFill/>
          </a:ln>
          <a:effectLst/>
          <a:sp3d/>
        </c:spPr>
      </c:pivotFmt>
      <c:pivotFmt>
        <c:idx val="199"/>
        <c:spPr>
          <a:solidFill>
            <a:schemeClr val="accent1"/>
          </a:solidFill>
          <a:ln>
            <a:noFill/>
          </a:ln>
          <a:effectLst/>
          <a:sp3d/>
        </c:spPr>
      </c:pivotFmt>
      <c:pivotFmt>
        <c:idx val="200"/>
        <c:spPr>
          <a:solidFill>
            <a:schemeClr val="accent1"/>
          </a:solidFill>
          <a:ln>
            <a:noFill/>
          </a:ln>
          <a:effectLst/>
          <a:sp3d/>
        </c:spPr>
      </c:pivotFmt>
      <c:pivotFmt>
        <c:idx val="201"/>
        <c:spPr>
          <a:solidFill>
            <a:schemeClr val="accent1"/>
          </a:solidFill>
          <a:ln>
            <a:noFill/>
          </a:ln>
          <a:effectLst/>
          <a:sp3d/>
        </c:spPr>
      </c:pivotFmt>
      <c:pivotFmt>
        <c:idx val="202"/>
        <c:spPr>
          <a:solidFill>
            <a:schemeClr val="accent1"/>
          </a:solidFill>
          <a:ln>
            <a:noFill/>
          </a:ln>
          <a:effectLst/>
          <a:sp3d/>
        </c:spPr>
      </c:pivotFmt>
      <c:pivotFmt>
        <c:idx val="203"/>
        <c:spPr>
          <a:solidFill>
            <a:schemeClr val="accent1"/>
          </a:solidFill>
          <a:ln>
            <a:noFill/>
          </a:ln>
          <a:effectLst/>
          <a:sp3d/>
        </c:spPr>
      </c:pivotFmt>
      <c:pivotFmt>
        <c:idx val="204"/>
        <c:spPr>
          <a:solidFill>
            <a:schemeClr val="accent1"/>
          </a:solidFill>
          <a:ln>
            <a:noFill/>
          </a:ln>
          <a:effectLst/>
          <a:sp3d/>
        </c:spPr>
      </c:pivotFmt>
      <c:pivotFmt>
        <c:idx val="205"/>
        <c:spPr>
          <a:solidFill>
            <a:schemeClr val="accent1"/>
          </a:solidFill>
          <a:ln>
            <a:noFill/>
          </a:ln>
          <a:effectLst/>
          <a:sp3d/>
        </c:spPr>
      </c:pivotFmt>
      <c:pivotFmt>
        <c:idx val="206"/>
        <c:spPr>
          <a:solidFill>
            <a:schemeClr val="accent1"/>
          </a:solidFill>
          <a:ln>
            <a:noFill/>
          </a:ln>
          <a:effectLst/>
          <a:sp3d/>
        </c:spPr>
      </c:pivotFmt>
      <c:pivotFmt>
        <c:idx val="207"/>
        <c:spPr>
          <a:solidFill>
            <a:schemeClr val="accent1"/>
          </a:solidFill>
          <a:ln>
            <a:noFill/>
          </a:ln>
          <a:effectLst/>
          <a:sp3d/>
        </c:spPr>
      </c:pivotFmt>
      <c:pivotFmt>
        <c:idx val="208"/>
        <c:spPr>
          <a:solidFill>
            <a:schemeClr val="accent1"/>
          </a:solidFill>
          <a:ln>
            <a:noFill/>
          </a:ln>
          <a:effectLst/>
          <a:sp3d/>
        </c:spPr>
      </c:pivotFmt>
      <c:pivotFmt>
        <c:idx val="209"/>
        <c:spPr>
          <a:solidFill>
            <a:schemeClr val="accent1"/>
          </a:solidFill>
          <a:ln>
            <a:noFill/>
          </a:ln>
          <a:effectLst/>
          <a:sp3d/>
        </c:spPr>
      </c:pivotFmt>
      <c:pivotFmt>
        <c:idx val="210"/>
        <c:spPr>
          <a:solidFill>
            <a:schemeClr val="accent1"/>
          </a:solidFill>
          <a:ln>
            <a:noFill/>
          </a:ln>
          <a:effectLst/>
          <a:sp3d/>
        </c:spPr>
      </c:pivotFmt>
      <c:pivotFmt>
        <c:idx val="211"/>
        <c:spPr>
          <a:solidFill>
            <a:schemeClr val="accent1"/>
          </a:solidFill>
          <a:ln>
            <a:noFill/>
          </a:ln>
          <a:effectLst/>
          <a:sp3d/>
        </c:spPr>
      </c:pivotFmt>
      <c:pivotFmt>
        <c:idx val="212"/>
        <c:spPr>
          <a:solidFill>
            <a:schemeClr val="accent1"/>
          </a:solidFill>
          <a:ln>
            <a:noFill/>
          </a:ln>
          <a:effectLst/>
          <a:sp3d/>
        </c:spPr>
      </c:pivotFmt>
      <c:pivotFmt>
        <c:idx val="213"/>
        <c:spPr>
          <a:solidFill>
            <a:schemeClr val="accent1"/>
          </a:solidFill>
          <a:ln>
            <a:noFill/>
          </a:ln>
          <a:effectLst/>
          <a:sp3d/>
        </c:spPr>
      </c:pivotFmt>
      <c:pivotFmt>
        <c:idx val="214"/>
        <c:spPr>
          <a:solidFill>
            <a:schemeClr val="accent1"/>
          </a:solidFill>
          <a:ln>
            <a:noFill/>
          </a:ln>
          <a:effectLst/>
          <a:sp3d/>
        </c:spPr>
      </c:pivotFmt>
      <c:pivotFmt>
        <c:idx val="215"/>
        <c:spPr>
          <a:solidFill>
            <a:schemeClr val="accent1"/>
          </a:solidFill>
          <a:ln>
            <a:noFill/>
          </a:ln>
          <a:effectLst/>
          <a:sp3d/>
        </c:spPr>
      </c:pivotFmt>
      <c:pivotFmt>
        <c:idx val="216"/>
        <c:spPr>
          <a:solidFill>
            <a:schemeClr val="accent1"/>
          </a:solidFill>
          <a:ln>
            <a:noFill/>
          </a:ln>
          <a:effectLst/>
          <a:sp3d/>
        </c:spPr>
      </c:pivotFmt>
      <c:pivotFmt>
        <c:idx val="217"/>
        <c:spPr>
          <a:solidFill>
            <a:schemeClr val="accent1"/>
          </a:solidFill>
          <a:ln>
            <a:noFill/>
          </a:ln>
          <a:effectLst/>
          <a:sp3d/>
        </c:spPr>
      </c:pivotFmt>
      <c:pivotFmt>
        <c:idx val="218"/>
        <c:spPr>
          <a:solidFill>
            <a:schemeClr val="accent1"/>
          </a:solidFill>
          <a:ln>
            <a:noFill/>
          </a:ln>
          <a:effectLst/>
          <a:sp3d/>
        </c:spPr>
      </c:pivotFmt>
      <c:pivotFmt>
        <c:idx val="219"/>
        <c:spPr>
          <a:solidFill>
            <a:schemeClr val="accent1"/>
          </a:solidFill>
          <a:ln>
            <a:noFill/>
          </a:ln>
          <a:effectLst/>
          <a:sp3d/>
        </c:spPr>
      </c:pivotFmt>
      <c:pivotFmt>
        <c:idx val="220"/>
        <c:spPr>
          <a:solidFill>
            <a:schemeClr val="accent1"/>
          </a:solidFill>
          <a:ln>
            <a:noFill/>
          </a:ln>
          <a:effectLst/>
          <a:sp3d/>
        </c:spPr>
      </c:pivotFmt>
      <c:pivotFmt>
        <c:idx val="221"/>
        <c:spPr>
          <a:solidFill>
            <a:schemeClr val="accent1"/>
          </a:solidFill>
          <a:ln>
            <a:noFill/>
          </a:ln>
          <a:effectLst/>
          <a:sp3d/>
        </c:spPr>
      </c:pivotFmt>
      <c:pivotFmt>
        <c:idx val="222"/>
        <c:spPr>
          <a:solidFill>
            <a:schemeClr val="accent1"/>
          </a:solidFill>
          <a:ln>
            <a:noFill/>
          </a:ln>
          <a:effectLst/>
          <a:sp3d/>
        </c:spPr>
      </c:pivotFmt>
      <c:pivotFmt>
        <c:idx val="223"/>
        <c:spPr>
          <a:solidFill>
            <a:schemeClr val="accent1"/>
          </a:solidFill>
          <a:ln>
            <a:noFill/>
          </a:ln>
          <a:effectLst/>
          <a:sp3d/>
        </c:spPr>
      </c:pivotFmt>
      <c:pivotFmt>
        <c:idx val="224"/>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555543112670826E-2"/>
          <c:y val="0.34121281434368811"/>
          <c:w val="0.54222238242436316"/>
          <c:h val="0.658787185656312"/>
        </c:manualLayout>
      </c:layout>
      <c:pie3DChart>
        <c:varyColors val="1"/>
        <c:ser>
          <c:idx val="0"/>
          <c:order val="0"/>
          <c:tx>
            <c:strRef>
              <c:f>PPA!$B$150</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4B1E-4F47-B968-D043A553D8A2}"/>
              </c:ext>
            </c:extLst>
          </c:dPt>
          <c:dPt>
            <c:idx val="1"/>
            <c:bubble3D val="0"/>
            <c:spPr>
              <a:solidFill>
                <a:schemeClr val="accent2"/>
              </a:solidFill>
              <a:ln>
                <a:noFill/>
              </a:ln>
              <a:effectLst/>
              <a:sp3d/>
            </c:spPr>
            <c:extLst>
              <c:ext xmlns:c16="http://schemas.microsoft.com/office/drawing/2014/chart" uri="{C3380CC4-5D6E-409C-BE32-E72D297353CC}">
                <c16:uniqueId val="{00000003-4B1E-4F47-B968-D043A553D8A2}"/>
              </c:ext>
            </c:extLst>
          </c:dPt>
          <c:dPt>
            <c:idx val="2"/>
            <c:bubble3D val="0"/>
            <c:spPr>
              <a:solidFill>
                <a:schemeClr val="accent3"/>
              </a:solidFill>
              <a:ln>
                <a:noFill/>
              </a:ln>
              <a:effectLst/>
              <a:sp3d/>
            </c:spPr>
            <c:extLst>
              <c:ext xmlns:c16="http://schemas.microsoft.com/office/drawing/2014/chart" uri="{C3380CC4-5D6E-409C-BE32-E72D297353CC}">
                <c16:uniqueId val="{00000005-4B1E-4F47-B968-D043A553D8A2}"/>
              </c:ext>
            </c:extLst>
          </c:dPt>
          <c:dPt>
            <c:idx val="3"/>
            <c:bubble3D val="0"/>
            <c:spPr>
              <a:solidFill>
                <a:schemeClr val="accent4"/>
              </a:solidFill>
              <a:ln>
                <a:noFill/>
              </a:ln>
              <a:effectLst/>
              <a:sp3d/>
            </c:spPr>
            <c:extLst>
              <c:ext xmlns:c16="http://schemas.microsoft.com/office/drawing/2014/chart" uri="{C3380CC4-5D6E-409C-BE32-E72D297353CC}">
                <c16:uniqueId val="{00000007-4B1E-4F47-B968-D043A553D8A2}"/>
              </c:ext>
            </c:extLst>
          </c:dPt>
          <c:dPt>
            <c:idx val="4"/>
            <c:bubble3D val="0"/>
            <c:spPr>
              <a:solidFill>
                <a:schemeClr val="accent5"/>
              </a:solidFill>
              <a:ln>
                <a:noFill/>
              </a:ln>
              <a:effectLst/>
              <a:sp3d/>
            </c:spPr>
            <c:extLst>
              <c:ext xmlns:c16="http://schemas.microsoft.com/office/drawing/2014/chart" uri="{C3380CC4-5D6E-409C-BE32-E72D297353CC}">
                <c16:uniqueId val="{00000009-4B1E-4F47-B968-D043A553D8A2}"/>
              </c:ext>
            </c:extLst>
          </c:dPt>
          <c:dPt>
            <c:idx val="5"/>
            <c:bubble3D val="0"/>
            <c:spPr>
              <a:solidFill>
                <a:schemeClr val="accent6"/>
              </a:solidFill>
              <a:ln>
                <a:noFill/>
              </a:ln>
              <a:effectLst/>
              <a:sp3d/>
            </c:spPr>
            <c:extLst>
              <c:ext xmlns:c16="http://schemas.microsoft.com/office/drawing/2014/chart" uri="{C3380CC4-5D6E-409C-BE32-E72D297353CC}">
                <c16:uniqueId val="{0000000B-4B1E-4F47-B968-D043A553D8A2}"/>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4B1E-4F47-B968-D043A553D8A2}"/>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4B1E-4F47-B968-D043A553D8A2}"/>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4B1E-4F47-B968-D043A553D8A2}"/>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4B1E-4F47-B968-D043A553D8A2}"/>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4B1E-4F47-B968-D043A553D8A2}"/>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4B1E-4F47-B968-D043A553D8A2}"/>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4B1E-4F47-B968-D043A553D8A2}"/>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4B1E-4F47-B968-D043A553D8A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4B1E-4F47-B968-D043A553D8A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4B1E-4F47-B968-D043A553D8A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4B1E-4F47-B968-D043A553D8A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4B1E-4F47-B968-D043A553D8A2}"/>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4B1E-4F47-B968-D043A553D8A2}"/>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4B1E-4F47-B968-D043A553D8A2}"/>
              </c:ext>
            </c:extLst>
          </c:dPt>
          <c:dPt>
            <c:idx val="20"/>
            <c:bubble3D val="0"/>
            <c:spPr>
              <a:solidFill>
                <a:schemeClr val="accent3">
                  <a:lumMod val="80000"/>
                </a:schemeClr>
              </a:solidFill>
              <a:ln>
                <a:noFill/>
              </a:ln>
              <a:effectLst/>
              <a:sp3d/>
            </c:spPr>
            <c:extLst>
              <c:ext xmlns:c16="http://schemas.microsoft.com/office/drawing/2014/chart" uri="{C3380CC4-5D6E-409C-BE32-E72D297353CC}">
                <c16:uniqueId val="{00000029-4B1E-4F47-B968-D043A553D8A2}"/>
              </c:ext>
            </c:extLst>
          </c:dPt>
          <c:dPt>
            <c:idx val="21"/>
            <c:bubble3D val="0"/>
            <c:spPr>
              <a:solidFill>
                <a:schemeClr val="accent4">
                  <a:lumMod val="80000"/>
                </a:schemeClr>
              </a:solidFill>
              <a:ln>
                <a:noFill/>
              </a:ln>
              <a:effectLst/>
              <a:sp3d/>
            </c:spPr>
            <c:extLst>
              <c:ext xmlns:c16="http://schemas.microsoft.com/office/drawing/2014/chart" uri="{C3380CC4-5D6E-409C-BE32-E72D297353CC}">
                <c16:uniqueId val="{0000002B-4B1E-4F47-B968-D043A553D8A2}"/>
              </c:ext>
            </c:extLst>
          </c:dPt>
          <c:dPt>
            <c:idx val="22"/>
            <c:bubble3D val="0"/>
            <c:spPr>
              <a:solidFill>
                <a:schemeClr val="accent5">
                  <a:lumMod val="80000"/>
                </a:schemeClr>
              </a:solidFill>
              <a:ln>
                <a:noFill/>
              </a:ln>
              <a:effectLst/>
              <a:sp3d/>
            </c:spPr>
            <c:extLst>
              <c:ext xmlns:c16="http://schemas.microsoft.com/office/drawing/2014/chart" uri="{C3380CC4-5D6E-409C-BE32-E72D297353CC}">
                <c16:uniqueId val="{0000002D-4B1E-4F47-B968-D043A553D8A2}"/>
              </c:ext>
            </c:extLst>
          </c:dPt>
          <c:dPt>
            <c:idx val="23"/>
            <c:bubble3D val="0"/>
            <c:spPr>
              <a:solidFill>
                <a:schemeClr val="accent6">
                  <a:lumMod val="80000"/>
                </a:schemeClr>
              </a:solidFill>
              <a:ln>
                <a:noFill/>
              </a:ln>
              <a:effectLst/>
              <a:sp3d/>
            </c:spPr>
            <c:extLst>
              <c:ext xmlns:c16="http://schemas.microsoft.com/office/drawing/2014/chart" uri="{C3380CC4-5D6E-409C-BE32-E72D297353CC}">
                <c16:uniqueId val="{0000002F-4B1E-4F47-B968-D043A553D8A2}"/>
              </c:ext>
            </c:extLst>
          </c:dPt>
          <c:dPt>
            <c:idx val="24"/>
            <c:bubble3D val="0"/>
            <c:spPr>
              <a:solidFill>
                <a:schemeClr val="accent1">
                  <a:lumMod val="60000"/>
                  <a:lumOff val="40000"/>
                </a:schemeClr>
              </a:solidFill>
              <a:ln>
                <a:noFill/>
              </a:ln>
              <a:effectLst/>
              <a:sp3d/>
            </c:spPr>
            <c:extLst>
              <c:ext xmlns:c16="http://schemas.microsoft.com/office/drawing/2014/chart" uri="{C3380CC4-5D6E-409C-BE32-E72D297353CC}">
                <c16:uniqueId val="{00000031-4B1E-4F47-B968-D043A553D8A2}"/>
              </c:ext>
            </c:extLst>
          </c:dPt>
          <c:dPt>
            <c:idx val="25"/>
            <c:bubble3D val="0"/>
            <c:spPr>
              <a:solidFill>
                <a:schemeClr val="accent2">
                  <a:lumMod val="60000"/>
                  <a:lumOff val="40000"/>
                </a:schemeClr>
              </a:solidFill>
              <a:ln>
                <a:noFill/>
              </a:ln>
              <a:effectLst/>
              <a:sp3d/>
            </c:spPr>
            <c:extLst>
              <c:ext xmlns:c16="http://schemas.microsoft.com/office/drawing/2014/chart" uri="{C3380CC4-5D6E-409C-BE32-E72D297353CC}">
                <c16:uniqueId val="{00000033-4B1E-4F47-B968-D043A553D8A2}"/>
              </c:ext>
            </c:extLst>
          </c:dPt>
          <c:dPt>
            <c:idx val="26"/>
            <c:bubble3D val="0"/>
            <c:spPr>
              <a:solidFill>
                <a:schemeClr val="accent3">
                  <a:lumMod val="60000"/>
                  <a:lumOff val="40000"/>
                </a:schemeClr>
              </a:solidFill>
              <a:ln>
                <a:noFill/>
              </a:ln>
              <a:effectLst/>
              <a:sp3d/>
            </c:spPr>
            <c:extLst>
              <c:ext xmlns:c16="http://schemas.microsoft.com/office/drawing/2014/chart" uri="{C3380CC4-5D6E-409C-BE32-E72D297353CC}">
                <c16:uniqueId val="{00000035-4B1E-4F47-B968-D043A553D8A2}"/>
              </c:ext>
            </c:extLst>
          </c:dPt>
          <c:dPt>
            <c:idx val="27"/>
            <c:bubble3D val="0"/>
            <c:spPr>
              <a:solidFill>
                <a:schemeClr val="accent4">
                  <a:lumMod val="60000"/>
                  <a:lumOff val="40000"/>
                </a:schemeClr>
              </a:solidFill>
              <a:ln>
                <a:noFill/>
              </a:ln>
              <a:effectLst/>
              <a:sp3d/>
            </c:spPr>
            <c:extLst>
              <c:ext xmlns:c16="http://schemas.microsoft.com/office/drawing/2014/chart" uri="{C3380CC4-5D6E-409C-BE32-E72D297353CC}">
                <c16:uniqueId val="{00000037-4B1E-4F47-B968-D043A553D8A2}"/>
              </c:ext>
            </c:extLst>
          </c:dPt>
          <c:dPt>
            <c:idx val="28"/>
            <c:bubble3D val="0"/>
            <c:spPr>
              <a:solidFill>
                <a:schemeClr val="accent5">
                  <a:lumMod val="60000"/>
                  <a:lumOff val="40000"/>
                </a:schemeClr>
              </a:solidFill>
              <a:ln>
                <a:noFill/>
              </a:ln>
              <a:effectLst/>
              <a:sp3d/>
            </c:spPr>
            <c:extLst>
              <c:ext xmlns:c16="http://schemas.microsoft.com/office/drawing/2014/chart" uri="{C3380CC4-5D6E-409C-BE32-E72D297353CC}">
                <c16:uniqueId val="{00000039-4B1E-4F47-B968-D043A553D8A2}"/>
              </c:ext>
            </c:extLst>
          </c:dPt>
          <c:dPt>
            <c:idx val="29"/>
            <c:bubble3D val="0"/>
            <c:spPr>
              <a:solidFill>
                <a:schemeClr val="accent6">
                  <a:lumMod val="60000"/>
                  <a:lumOff val="40000"/>
                </a:schemeClr>
              </a:solidFill>
              <a:ln>
                <a:noFill/>
              </a:ln>
              <a:effectLst/>
              <a:sp3d/>
            </c:spPr>
            <c:extLst>
              <c:ext xmlns:c16="http://schemas.microsoft.com/office/drawing/2014/chart" uri="{C3380CC4-5D6E-409C-BE32-E72D297353CC}">
                <c16:uniqueId val="{0000003B-4B1E-4F47-B968-D043A553D8A2}"/>
              </c:ext>
            </c:extLst>
          </c:dPt>
          <c:dPt>
            <c:idx val="30"/>
            <c:bubble3D val="0"/>
            <c:spPr>
              <a:solidFill>
                <a:schemeClr val="accent1">
                  <a:lumMod val="50000"/>
                </a:schemeClr>
              </a:solidFill>
              <a:ln>
                <a:noFill/>
              </a:ln>
              <a:effectLst/>
              <a:sp3d/>
            </c:spPr>
            <c:extLst>
              <c:ext xmlns:c16="http://schemas.microsoft.com/office/drawing/2014/chart" uri="{C3380CC4-5D6E-409C-BE32-E72D297353CC}">
                <c16:uniqueId val="{0000003D-4B1E-4F47-B968-D043A553D8A2}"/>
              </c:ext>
            </c:extLst>
          </c:dPt>
          <c:dPt>
            <c:idx val="31"/>
            <c:bubble3D val="0"/>
            <c:spPr>
              <a:solidFill>
                <a:schemeClr val="accent2">
                  <a:lumMod val="50000"/>
                </a:schemeClr>
              </a:solidFill>
              <a:ln>
                <a:noFill/>
              </a:ln>
              <a:effectLst/>
              <a:sp3d/>
            </c:spPr>
            <c:extLst>
              <c:ext xmlns:c16="http://schemas.microsoft.com/office/drawing/2014/chart" uri="{C3380CC4-5D6E-409C-BE32-E72D297353CC}">
                <c16:uniqueId val="{0000003F-4B1E-4F47-B968-D043A553D8A2}"/>
              </c:ext>
            </c:extLst>
          </c:dPt>
          <c:dPt>
            <c:idx val="32"/>
            <c:bubble3D val="0"/>
            <c:spPr>
              <a:solidFill>
                <a:schemeClr val="accent3">
                  <a:lumMod val="50000"/>
                </a:schemeClr>
              </a:solidFill>
              <a:ln>
                <a:noFill/>
              </a:ln>
              <a:effectLst/>
              <a:sp3d/>
            </c:spPr>
            <c:extLst>
              <c:ext xmlns:c16="http://schemas.microsoft.com/office/drawing/2014/chart" uri="{C3380CC4-5D6E-409C-BE32-E72D297353CC}">
                <c16:uniqueId val="{00000041-4B1E-4F47-B968-D043A553D8A2}"/>
              </c:ext>
            </c:extLst>
          </c:dPt>
          <c:dPt>
            <c:idx val="33"/>
            <c:bubble3D val="0"/>
            <c:spPr>
              <a:solidFill>
                <a:schemeClr val="accent4">
                  <a:lumMod val="50000"/>
                </a:schemeClr>
              </a:solidFill>
              <a:ln>
                <a:noFill/>
              </a:ln>
              <a:effectLst/>
              <a:sp3d/>
            </c:spPr>
            <c:extLst>
              <c:ext xmlns:c16="http://schemas.microsoft.com/office/drawing/2014/chart" uri="{C3380CC4-5D6E-409C-BE32-E72D297353CC}">
                <c16:uniqueId val="{00000043-4B1E-4F47-B968-D043A553D8A2}"/>
              </c:ext>
            </c:extLst>
          </c:dPt>
          <c:dPt>
            <c:idx val="34"/>
            <c:bubble3D val="0"/>
            <c:spPr>
              <a:solidFill>
                <a:schemeClr val="accent5">
                  <a:lumMod val="50000"/>
                </a:schemeClr>
              </a:solidFill>
              <a:ln>
                <a:noFill/>
              </a:ln>
              <a:effectLst/>
              <a:sp3d/>
            </c:spPr>
            <c:extLst>
              <c:ext xmlns:c16="http://schemas.microsoft.com/office/drawing/2014/chart" uri="{C3380CC4-5D6E-409C-BE32-E72D297353CC}">
                <c16:uniqueId val="{00000045-4B1E-4F47-B968-D043A553D8A2}"/>
              </c:ext>
            </c:extLst>
          </c:dPt>
          <c:dPt>
            <c:idx val="35"/>
            <c:bubble3D val="0"/>
            <c:spPr>
              <a:solidFill>
                <a:schemeClr val="accent6">
                  <a:lumMod val="50000"/>
                </a:schemeClr>
              </a:solidFill>
              <a:ln>
                <a:noFill/>
              </a:ln>
              <a:effectLst/>
              <a:sp3d/>
            </c:spPr>
            <c:extLst>
              <c:ext xmlns:c16="http://schemas.microsoft.com/office/drawing/2014/chart" uri="{C3380CC4-5D6E-409C-BE32-E72D297353CC}">
                <c16:uniqueId val="{00000047-4B1E-4F47-B968-D043A553D8A2}"/>
              </c:ext>
            </c:extLst>
          </c:dPt>
          <c:dPt>
            <c:idx val="36"/>
            <c:bubble3D val="0"/>
            <c:spPr>
              <a:solidFill>
                <a:schemeClr val="accent1">
                  <a:lumMod val="70000"/>
                  <a:lumOff val="30000"/>
                </a:schemeClr>
              </a:solidFill>
              <a:ln>
                <a:noFill/>
              </a:ln>
              <a:effectLst/>
              <a:sp3d/>
            </c:spPr>
            <c:extLst>
              <c:ext xmlns:c16="http://schemas.microsoft.com/office/drawing/2014/chart" uri="{C3380CC4-5D6E-409C-BE32-E72D297353CC}">
                <c16:uniqueId val="{00000049-4B1E-4F47-B968-D043A553D8A2}"/>
              </c:ext>
            </c:extLst>
          </c:dPt>
          <c:dPt>
            <c:idx val="37"/>
            <c:bubble3D val="0"/>
            <c:spPr>
              <a:solidFill>
                <a:schemeClr val="accent2">
                  <a:lumMod val="70000"/>
                  <a:lumOff val="30000"/>
                </a:schemeClr>
              </a:solidFill>
              <a:ln>
                <a:noFill/>
              </a:ln>
              <a:effectLst/>
              <a:sp3d/>
            </c:spPr>
            <c:extLst>
              <c:ext xmlns:c16="http://schemas.microsoft.com/office/drawing/2014/chart" uri="{C3380CC4-5D6E-409C-BE32-E72D297353CC}">
                <c16:uniqueId val="{0000004B-4B1E-4F47-B968-D043A553D8A2}"/>
              </c:ext>
            </c:extLst>
          </c:dPt>
          <c:dPt>
            <c:idx val="38"/>
            <c:bubble3D val="0"/>
            <c:spPr>
              <a:solidFill>
                <a:schemeClr val="accent3">
                  <a:lumMod val="70000"/>
                  <a:lumOff val="30000"/>
                </a:schemeClr>
              </a:solidFill>
              <a:ln>
                <a:noFill/>
              </a:ln>
              <a:effectLst/>
              <a:sp3d/>
            </c:spPr>
            <c:extLst>
              <c:ext xmlns:c16="http://schemas.microsoft.com/office/drawing/2014/chart" uri="{C3380CC4-5D6E-409C-BE32-E72D297353CC}">
                <c16:uniqueId val="{0000004D-4B1E-4F47-B968-D043A553D8A2}"/>
              </c:ext>
            </c:extLst>
          </c:dPt>
          <c:dPt>
            <c:idx val="39"/>
            <c:bubble3D val="0"/>
            <c:spPr>
              <a:solidFill>
                <a:schemeClr val="accent4">
                  <a:lumMod val="70000"/>
                  <a:lumOff val="30000"/>
                </a:schemeClr>
              </a:solidFill>
              <a:ln>
                <a:noFill/>
              </a:ln>
              <a:effectLst/>
              <a:sp3d/>
            </c:spPr>
            <c:extLst>
              <c:ext xmlns:c16="http://schemas.microsoft.com/office/drawing/2014/chart" uri="{C3380CC4-5D6E-409C-BE32-E72D297353CC}">
                <c16:uniqueId val="{0000004F-4B1E-4F47-B968-D043A553D8A2}"/>
              </c:ext>
            </c:extLst>
          </c:dPt>
          <c:dPt>
            <c:idx val="40"/>
            <c:bubble3D val="0"/>
            <c:spPr>
              <a:solidFill>
                <a:schemeClr val="accent5">
                  <a:lumMod val="70000"/>
                  <a:lumOff val="30000"/>
                </a:schemeClr>
              </a:solidFill>
              <a:ln>
                <a:noFill/>
              </a:ln>
              <a:effectLst/>
              <a:sp3d/>
            </c:spPr>
            <c:extLst>
              <c:ext xmlns:c16="http://schemas.microsoft.com/office/drawing/2014/chart" uri="{C3380CC4-5D6E-409C-BE32-E72D297353CC}">
                <c16:uniqueId val="{00000051-4B1E-4F47-B968-D043A553D8A2}"/>
              </c:ext>
            </c:extLst>
          </c:dPt>
          <c:dPt>
            <c:idx val="41"/>
            <c:bubble3D val="0"/>
            <c:spPr>
              <a:solidFill>
                <a:schemeClr val="accent6">
                  <a:lumMod val="70000"/>
                  <a:lumOff val="30000"/>
                </a:schemeClr>
              </a:solidFill>
              <a:ln>
                <a:noFill/>
              </a:ln>
              <a:effectLst/>
              <a:sp3d/>
            </c:spPr>
            <c:extLst>
              <c:ext xmlns:c16="http://schemas.microsoft.com/office/drawing/2014/chart" uri="{C3380CC4-5D6E-409C-BE32-E72D297353CC}">
                <c16:uniqueId val="{00000053-4B1E-4F47-B968-D043A553D8A2}"/>
              </c:ext>
            </c:extLst>
          </c:dPt>
          <c:dPt>
            <c:idx val="42"/>
            <c:bubble3D val="0"/>
            <c:spPr>
              <a:solidFill>
                <a:schemeClr val="accent1">
                  <a:lumMod val="70000"/>
                </a:schemeClr>
              </a:solidFill>
              <a:ln>
                <a:noFill/>
              </a:ln>
              <a:effectLst/>
              <a:sp3d/>
            </c:spPr>
            <c:extLst>
              <c:ext xmlns:c16="http://schemas.microsoft.com/office/drawing/2014/chart" uri="{C3380CC4-5D6E-409C-BE32-E72D297353CC}">
                <c16:uniqueId val="{00000055-4B1E-4F47-B968-D043A553D8A2}"/>
              </c:ext>
            </c:extLst>
          </c:dPt>
          <c:dPt>
            <c:idx val="43"/>
            <c:bubble3D val="0"/>
            <c:spPr>
              <a:solidFill>
                <a:schemeClr val="accent2">
                  <a:lumMod val="70000"/>
                </a:schemeClr>
              </a:solidFill>
              <a:ln>
                <a:noFill/>
              </a:ln>
              <a:effectLst/>
              <a:sp3d/>
            </c:spPr>
            <c:extLst>
              <c:ext xmlns:c16="http://schemas.microsoft.com/office/drawing/2014/chart" uri="{C3380CC4-5D6E-409C-BE32-E72D297353CC}">
                <c16:uniqueId val="{00000057-4B1E-4F47-B968-D043A553D8A2}"/>
              </c:ext>
            </c:extLst>
          </c:dPt>
          <c:dPt>
            <c:idx val="44"/>
            <c:bubble3D val="0"/>
            <c:spPr>
              <a:solidFill>
                <a:schemeClr val="accent3">
                  <a:lumMod val="70000"/>
                </a:schemeClr>
              </a:solidFill>
              <a:ln>
                <a:noFill/>
              </a:ln>
              <a:effectLst/>
              <a:sp3d/>
            </c:spPr>
            <c:extLst>
              <c:ext xmlns:c16="http://schemas.microsoft.com/office/drawing/2014/chart" uri="{C3380CC4-5D6E-409C-BE32-E72D297353CC}">
                <c16:uniqueId val="{00000059-4B1E-4F47-B968-D043A553D8A2}"/>
              </c:ext>
            </c:extLst>
          </c:dPt>
          <c:dPt>
            <c:idx val="45"/>
            <c:bubble3D val="0"/>
            <c:spPr>
              <a:solidFill>
                <a:schemeClr val="accent4">
                  <a:lumMod val="70000"/>
                </a:schemeClr>
              </a:solidFill>
              <a:ln>
                <a:noFill/>
              </a:ln>
              <a:effectLst/>
              <a:sp3d/>
            </c:spPr>
            <c:extLst>
              <c:ext xmlns:c16="http://schemas.microsoft.com/office/drawing/2014/chart" uri="{C3380CC4-5D6E-409C-BE32-E72D297353CC}">
                <c16:uniqueId val="{0000005B-4B1E-4F47-B968-D043A553D8A2}"/>
              </c:ext>
            </c:extLst>
          </c:dPt>
          <c:dPt>
            <c:idx val="46"/>
            <c:bubble3D val="0"/>
            <c:spPr>
              <a:solidFill>
                <a:schemeClr val="accent5">
                  <a:lumMod val="70000"/>
                </a:schemeClr>
              </a:solidFill>
              <a:ln>
                <a:noFill/>
              </a:ln>
              <a:effectLst/>
              <a:sp3d/>
            </c:spPr>
            <c:extLst>
              <c:ext xmlns:c16="http://schemas.microsoft.com/office/drawing/2014/chart" uri="{C3380CC4-5D6E-409C-BE32-E72D297353CC}">
                <c16:uniqueId val="{0000005D-4B1E-4F47-B968-D043A553D8A2}"/>
              </c:ext>
            </c:extLst>
          </c:dPt>
          <c:dPt>
            <c:idx val="47"/>
            <c:bubble3D val="0"/>
            <c:spPr>
              <a:solidFill>
                <a:schemeClr val="accent6">
                  <a:lumMod val="70000"/>
                </a:schemeClr>
              </a:solidFill>
              <a:ln>
                <a:noFill/>
              </a:ln>
              <a:effectLst/>
              <a:sp3d/>
            </c:spPr>
            <c:extLst>
              <c:ext xmlns:c16="http://schemas.microsoft.com/office/drawing/2014/chart" uri="{C3380CC4-5D6E-409C-BE32-E72D297353CC}">
                <c16:uniqueId val="{0000005F-4B1E-4F47-B968-D043A553D8A2}"/>
              </c:ext>
            </c:extLst>
          </c:dPt>
          <c:dPt>
            <c:idx val="48"/>
            <c:bubble3D val="0"/>
            <c:spPr>
              <a:solidFill>
                <a:schemeClr val="accent1">
                  <a:lumMod val="50000"/>
                  <a:lumOff val="50000"/>
                </a:schemeClr>
              </a:solidFill>
              <a:ln>
                <a:noFill/>
              </a:ln>
              <a:effectLst/>
              <a:sp3d/>
            </c:spPr>
            <c:extLst>
              <c:ext xmlns:c16="http://schemas.microsoft.com/office/drawing/2014/chart" uri="{C3380CC4-5D6E-409C-BE32-E72D297353CC}">
                <c16:uniqueId val="{00000061-4B1E-4F47-B968-D043A553D8A2}"/>
              </c:ext>
            </c:extLst>
          </c:dPt>
          <c:dPt>
            <c:idx val="49"/>
            <c:bubble3D val="0"/>
            <c:spPr>
              <a:solidFill>
                <a:schemeClr val="accent2">
                  <a:lumMod val="50000"/>
                  <a:lumOff val="50000"/>
                </a:schemeClr>
              </a:solidFill>
              <a:ln>
                <a:noFill/>
              </a:ln>
              <a:effectLst/>
              <a:sp3d/>
            </c:spPr>
            <c:extLst>
              <c:ext xmlns:c16="http://schemas.microsoft.com/office/drawing/2014/chart" uri="{C3380CC4-5D6E-409C-BE32-E72D297353CC}">
                <c16:uniqueId val="{00000063-4B1E-4F47-B968-D043A553D8A2}"/>
              </c:ext>
            </c:extLst>
          </c:dPt>
          <c:dPt>
            <c:idx val="50"/>
            <c:bubble3D val="0"/>
            <c:spPr>
              <a:solidFill>
                <a:schemeClr val="accent3">
                  <a:lumMod val="50000"/>
                  <a:lumOff val="50000"/>
                </a:schemeClr>
              </a:solidFill>
              <a:ln>
                <a:noFill/>
              </a:ln>
              <a:effectLst/>
              <a:sp3d/>
            </c:spPr>
            <c:extLst>
              <c:ext xmlns:c16="http://schemas.microsoft.com/office/drawing/2014/chart" uri="{C3380CC4-5D6E-409C-BE32-E72D297353CC}">
                <c16:uniqueId val="{00000065-4B1E-4F47-B968-D043A553D8A2}"/>
              </c:ext>
            </c:extLst>
          </c:dPt>
          <c:dPt>
            <c:idx val="51"/>
            <c:bubble3D val="0"/>
            <c:spPr>
              <a:solidFill>
                <a:schemeClr val="accent4">
                  <a:lumMod val="50000"/>
                  <a:lumOff val="50000"/>
                </a:schemeClr>
              </a:solidFill>
              <a:ln>
                <a:noFill/>
              </a:ln>
              <a:effectLst/>
              <a:sp3d/>
            </c:spPr>
            <c:extLst>
              <c:ext xmlns:c16="http://schemas.microsoft.com/office/drawing/2014/chart" uri="{C3380CC4-5D6E-409C-BE32-E72D297353CC}">
                <c16:uniqueId val="{00000067-4B1E-4F47-B968-D043A553D8A2}"/>
              </c:ext>
            </c:extLst>
          </c:dPt>
          <c:dPt>
            <c:idx val="52"/>
            <c:bubble3D val="0"/>
            <c:spPr>
              <a:solidFill>
                <a:schemeClr val="accent5">
                  <a:lumMod val="50000"/>
                  <a:lumOff val="50000"/>
                </a:schemeClr>
              </a:solidFill>
              <a:ln>
                <a:noFill/>
              </a:ln>
              <a:effectLst/>
              <a:sp3d/>
            </c:spPr>
            <c:extLst>
              <c:ext xmlns:c16="http://schemas.microsoft.com/office/drawing/2014/chart" uri="{C3380CC4-5D6E-409C-BE32-E72D297353CC}">
                <c16:uniqueId val="{00000069-4B1E-4F47-B968-D043A553D8A2}"/>
              </c:ext>
            </c:extLst>
          </c:dPt>
          <c:dPt>
            <c:idx val="53"/>
            <c:bubble3D val="0"/>
            <c:spPr>
              <a:solidFill>
                <a:schemeClr val="accent6">
                  <a:lumMod val="50000"/>
                  <a:lumOff val="50000"/>
                </a:schemeClr>
              </a:solidFill>
              <a:ln>
                <a:noFill/>
              </a:ln>
              <a:effectLst/>
              <a:sp3d/>
            </c:spPr>
            <c:extLst>
              <c:ext xmlns:c16="http://schemas.microsoft.com/office/drawing/2014/chart" uri="{C3380CC4-5D6E-409C-BE32-E72D297353CC}">
                <c16:uniqueId val="{0000006B-4B1E-4F47-B968-D043A553D8A2}"/>
              </c:ext>
            </c:extLst>
          </c:dPt>
          <c:dPt>
            <c:idx val="54"/>
            <c:bubble3D val="0"/>
            <c:spPr>
              <a:solidFill>
                <a:schemeClr val="accent1"/>
              </a:solidFill>
              <a:ln>
                <a:noFill/>
              </a:ln>
              <a:effectLst/>
              <a:sp3d/>
            </c:spPr>
            <c:extLst>
              <c:ext xmlns:c16="http://schemas.microsoft.com/office/drawing/2014/chart" uri="{C3380CC4-5D6E-409C-BE32-E72D297353CC}">
                <c16:uniqueId val="{0000006D-4B1E-4F47-B968-D043A553D8A2}"/>
              </c:ext>
            </c:extLst>
          </c:dPt>
          <c:dPt>
            <c:idx val="55"/>
            <c:bubble3D val="0"/>
            <c:spPr>
              <a:solidFill>
                <a:schemeClr val="accent2"/>
              </a:solidFill>
              <a:ln>
                <a:noFill/>
              </a:ln>
              <a:effectLst/>
              <a:sp3d/>
            </c:spPr>
            <c:extLst>
              <c:ext xmlns:c16="http://schemas.microsoft.com/office/drawing/2014/chart" uri="{C3380CC4-5D6E-409C-BE32-E72D297353CC}">
                <c16:uniqueId val="{0000006F-4B1E-4F47-B968-D043A553D8A2}"/>
              </c:ext>
            </c:extLst>
          </c:dPt>
          <c:dPt>
            <c:idx val="56"/>
            <c:bubble3D val="0"/>
            <c:spPr>
              <a:solidFill>
                <a:schemeClr val="accent3"/>
              </a:solidFill>
              <a:ln>
                <a:noFill/>
              </a:ln>
              <a:effectLst/>
              <a:sp3d/>
            </c:spPr>
            <c:extLst>
              <c:ext xmlns:c16="http://schemas.microsoft.com/office/drawing/2014/chart" uri="{C3380CC4-5D6E-409C-BE32-E72D297353CC}">
                <c16:uniqueId val="{00000071-4B1E-4F47-B968-D043A553D8A2}"/>
              </c:ext>
            </c:extLst>
          </c:dPt>
          <c:dPt>
            <c:idx val="57"/>
            <c:bubble3D val="0"/>
            <c:spPr>
              <a:solidFill>
                <a:schemeClr val="accent4"/>
              </a:solidFill>
              <a:ln>
                <a:noFill/>
              </a:ln>
              <a:effectLst/>
              <a:sp3d/>
            </c:spPr>
            <c:extLst>
              <c:ext xmlns:c16="http://schemas.microsoft.com/office/drawing/2014/chart" uri="{C3380CC4-5D6E-409C-BE32-E72D297353CC}">
                <c16:uniqueId val="{00000073-4B1E-4F47-B968-D043A553D8A2}"/>
              </c:ext>
            </c:extLst>
          </c:dPt>
          <c:dPt>
            <c:idx val="58"/>
            <c:bubble3D val="0"/>
            <c:spPr>
              <a:solidFill>
                <a:schemeClr val="accent5"/>
              </a:solidFill>
              <a:ln>
                <a:noFill/>
              </a:ln>
              <a:effectLst/>
              <a:sp3d/>
            </c:spPr>
            <c:extLst>
              <c:ext xmlns:c16="http://schemas.microsoft.com/office/drawing/2014/chart" uri="{C3380CC4-5D6E-409C-BE32-E72D297353CC}">
                <c16:uniqueId val="{00000075-4B1E-4F47-B968-D043A553D8A2}"/>
              </c:ext>
            </c:extLst>
          </c:dPt>
          <c:dPt>
            <c:idx val="59"/>
            <c:bubble3D val="0"/>
            <c:spPr>
              <a:solidFill>
                <a:schemeClr val="accent6"/>
              </a:solidFill>
              <a:ln>
                <a:noFill/>
              </a:ln>
              <a:effectLst/>
              <a:sp3d/>
            </c:spPr>
            <c:extLst>
              <c:ext xmlns:c16="http://schemas.microsoft.com/office/drawing/2014/chart" uri="{C3380CC4-5D6E-409C-BE32-E72D297353CC}">
                <c16:uniqueId val="{00000077-4B1E-4F47-B968-D043A553D8A2}"/>
              </c:ext>
            </c:extLst>
          </c:dPt>
          <c:dPt>
            <c:idx val="60"/>
            <c:bubble3D val="0"/>
            <c:spPr>
              <a:solidFill>
                <a:schemeClr val="accent1">
                  <a:lumMod val="60000"/>
                </a:schemeClr>
              </a:solidFill>
              <a:ln>
                <a:noFill/>
              </a:ln>
              <a:effectLst/>
              <a:sp3d/>
            </c:spPr>
            <c:extLst>
              <c:ext xmlns:c16="http://schemas.microsoft.com/office/drawing/2014/chart" uri="{C3380CC4-5D6E-409C-BE32-E72D297353CC}">
                <c16:uniqueId val="{00000079-4B1E-4F47-B968-D043A553D8A2}"/>
              </c:ext>
            </c:extLst>
          </c:dPt>
          <c:dPt>
            <c:idx val="61"/>
            <c:bubble3D val="0"/>
            <c:spPr>
              <a:solidFill>
                <a:schemeClr val="accent2">
                  <a:lumMod val="60000"/>
                </a:schemeClr>
              </a:solidFill>
              <a:ln>
                <a:noFill/>
              </a:ln>
              <a:effectLst/>
              <a:sp3d/>
            </c:spPr>
            <c:extLst>
              <c:ext xmlns:c16="http://schemas.microsoft.com/office/drawing/2014/chart" uri="{C3380CC4-5D6E-409C-BE32-E72D297353CC}">
                <c16:uniqueId val="{0000007B-4B1E-4F47-B968-D043A553D8A2}"/>
              </c:ext>
            </c:extLst>
          </c:dPt>
          <c:dPt>
            <c:idx val="62"/>
            <c:bubble3D val="0"/>
            <c:spPr>
              <a:solidFill>
                <a:schemeClr val="accent3">
                  <a:lumMod val="60000"/>
                </a:schemeClr>
              </a:solidFill>
              <a:ln>
                <a:noFill/>
              </a:ln>
              <a:effectLst/>
              <a:sp3d/>
            </c:spPr>
            <c:extLst>
              <c:ext xmlns:c16="http://schemas.microsoft.com/office/drawing/2014/chart" uri="{C3380CC4-5D6E-409C-BE32-E72D297353CC}">
                <c16:uniqueId val="{0000007D-4B1E-4F47-B968-D043A553D8A2}"/>
              </c:ext>
            </c:extLst>
          </c:dPt>
          <c:dPt>
            <c:idx val="63"/>
            <c:bubble3D val="0"/>
            <c:spPr>
              <a:solidFill>
                <a:schemeClr val="accent4">
                  <a:lumMod val="60000"/>
                </a:schemeClr>
              </a:solidFill>
              <a:ln>
                <a:noFill/>
              </a:ln>
              <a:effectLst/>
              <a:sp3d/>
            </c:spPr>
            <c:extLst>
              <c:ext xmlns:c16="http://schemas.microsoft.com/office/drawing/2014/chart" uri="{C3380CC4-5D6E-409C-BE32-E72D297353CC}">
                <c16:uniqueId val="{0000007F-4B1E-4F47-B968-D043A553D8A2}"/>
              </c:ext>
            </c:extLst>
          </c:dPt>
          <c:dPt>
            <c:idx val="64"/>
            <c:bubble3D val="0"/>
            <c:spPr>
              <a:solidFill>
                <a:schemeClr val="accent5">
                  <a:lumMod val="60000"/>
                </a:schemeClr>
              </a:solidFill>
              <a:ln>
                <a:noFill/>
              </a:ln>
              <a:effectLst/>
              <a:sp3d/>
            </c:spPr>
            <c:extLst>
              <c:ext xmlns:c16="http://schemas.microsoft.com/office/drawing/2014/chart" uri="{C3380CC4-5D6E-409C-BE32-E72D297353CC}">
                <c16:uniqueId val="{00000081-4B1E-4F47-B968-D043A553D8A2}"/>
              </c:ext>
            </c:extLst>
          </c:dPt>
          <c:dPt>
            <c:idx val="65"/>
            <c:bubble3D val="0"/>
            <c:spPr>
              <a:solidFill>
                <a:schemeClr val="accent6">
                  <a:lumMod val="60000"/>
                </a:schemeClr>
              </a:solidFill>
              <a:ln>
                <a:noFill/>
              </a:ln>
              <a:effectLst/>
              <a:sp3d/>
            </c:spPr>
            <c:extLst>
              <c:ext xmlns:c16="http://schemas.microsoft.com/office/drawing/2014/chart" uri="{C3380CC4-5D6E-409C-BE32-E72D297353CC}">
                <c16:uniqueId val="{00000083-4B1E-4F47-B968-D043A553D8A2}"/>
              </c:ext>
            </c:extLst>
          </c:dPt>
          <c:dPt>
            <c:idx val="66"/>
            <c:bubble3D val="0"/>
            <c:spPr>
              <a:solidFill>
                <a:schemeClr val="accent1">
                  <a:lumMod val="80000"/>
                  <a:lumOff val="20000"/>
                </a:schemeClr>
              </a:solidFill>
              <a:ln>
                <a:noFill/>
              </a:ln>
              <a:effectLst/>
              <a:sp3d/>
            </c:spPr>
            <c:extLst>
              <c:ext xmlns:c16="http://schemas.microsoft.com/office/drawing/2014/chart" uri="{C3380CC4-5D6E-409C-BE32-E72D297353CC}">
                <c16:uniqueId val="{00000085-4B1E-4F47-B968-D043A553D8A2}"/>
              </c:ext>
            </c:extLst>
          </c:dPt>
          <c:dPt>
            <c:idx val="67"/>
            <c:bubble3D val="0"/>
            <c:spPr>
              <a:solidFill>
                <a:schemeClr val="accent2">
                  <a:lumMod val="80000"/>
                  <a:lumOff val="20000"/>
                </a:schemeClr>
              </a:solidFill>
              <a:ln>
                <a:noFill/>
              </a:ln>
              <a:effectLst/>
              <a:sp3d/>
            </c:spPr>
            <c:extLst>
              <c:ext xmlns:c16="http://schemas.microsoft.com/office/drawing/2014/chart" uri="{C3380CC4-5D6E-409C-BE32-E72D297353CC}">
                <c16:uniqueId val="{00000087-4B1E-4F47-B968-D043A553D8A2}"/>
              </c:ext>
            </c:extLst>
          </c:dPt>
          <c:dPt>
            <c:idx val="68"/>
            <c:bubble3D val="0"/>
            <c:spPr>
              <a:solidFill>
                <a:schemeClr val="accent3">
                  <a:lumMod val="80000"/>
                  <a:lumOff val="20000"/>
                </a:schemeClr>
              </a:solidFill>
              <a:ln>
                <a:noFill/>
              </a:ln>
              <a:effectLst/>
              <a:sp3d/>
            </c:spPr>
            <c:extLst>
              <c:ext xmlns:c16="http://schemas.microsoft.com/office/drawing/2014/chart" uri="{C3380CC4-5D6E-409C-BE32-E72D297353CC}">
                <c16:uniqueId val="{00000089-4B1E-4F47-B968-D043A553D8A2}"/>
              </c:ext>
            </c:extLst>
          </c:dPt>
          <c:dPt>
            <c:idx val="69"/>
            <c:bubble3D val="0"/>
            <c:spPr>
              <a:solidFill>
                <a:schemeClr val="accent4">
                  <a:lumMod val="80000"/>
                  <a:lumOff val="20000"/>
                </a:schemeClr>
              </a:solidFill>
              <a:ln>
                <a:noFill/>
              </a:ln>
              <a:effectLst/>
              <a:sp3d/>
            </c:spPr>
            <c:extLst>
              <c:ext xmlns:c16="http://schemas.microsoft.com/office/drawing/2014/chart" uri="{C3380CC4-5D6E-409C-BE32-E72D297353CC}">
                <c16:uniqueId val="{0000008B-4B1E-4F47-B968-D043A553D8A2}"/>
              </c:ext>
            </c:extLst>
          </c:dPt>
          <c:dPt>
            <c:idx val="70"/>
            <c:bubble3D val="0"/>
            <c:spPr>
              <a:solidFill>
                <a:schemeClr val="accent5">
                  <a:lumMod val="80000"/>
                  <a:lumOff val="20000"/>
                </a:schemeClr>
              </a:solidFill>
              <a:ln>
                <a:noFill/>
              </a:ln>
              <a:effectLst/>
              <a:sp3d/>
            </c:spPr>
            <c:extLst>
              <c:ext xmlns:c16="http://schemas.microsoft.com/office/drawing/2014/chart" uri="{C3380CC4-5D6E-409C-BE32-E72D297353CC}">
                <c16:uniqueId val="{0000008D-4B1E-4F47-B968-D043A553D8A2}"/>
              </c:ext>
            </c:extLst>
          </c:dPt>
          <c:dPt>
            <c:idx val="71"/>
            <c:bubble3D val="0"/>
            <c:spPr>
              <a:solidFill>
                <a:schemeClr val="accent6">
                  <a:lumMod val="80000"/>
                  <a:lumOff val="20000"/>
                </a:schemeClr>
              </a:solidFill>
              <a:ln>
                <a:noFill/>
              </a:ln>
              <a:effectLst/>
              <a:sp3d/>
            </c:spPr>
            <c:extLst>
              <c:ext xmlns:c16="http://schemas.microsoft.com/office/drawing/2014/chart" uri="{C3380CC4-5D6E-409C-BE32-E72D297353CC}">
                <c16:uniqueId val="{0000008F-4B1E-4F47-B968-D043A553D8A2}"/>
              </c:ext>
            </c:extLst>
          </c:dPt>
          <c:dPt>
            <c:idx val="72"/>
            <c:bubble3D val="0"/>
            <c:spPr>
              <a:solidFill>
                <a:schemeClr val="accent1">
                  <a:lumMod val="80000"/>
                </a:schemeClr>
              </a:solidFill>
              <a:ln>
                <a:noFill/>
              </a:ln>
              <a:effectLst/>
              <a:sp3d/>
            </c:spPr>
            <c:extLst>
              <c:ext xmlns:c16="http://schemas.microsoft.com/office/drawing/2014/chart" uri="{C3380CC4-5D6E-409C-BE32-E72D297353CC}">
                <c16:uniqueId val="{00000091-4B1E-4F47-B968-D043A553D8A2}"/>
              </c:ext>
            </c:extLst>
          </c:dPt>
          <c:dPt>
            <c:idx val="73"/>
            <c:bubble3D val="0"/>
            <c:spPr>
              <a:solidFill>
                <a:schemeClr val="accent2">
                  <a:lumMod val="80000"/>
                </a:schemeClr>
              </a:solidFill>
              <a:ln>
                <a:noFill/>
              </a:ln>
              <a:effectLst/>
              <a:sp3d/>
            </c:spPr>
            <c:extLst>
              <c:ext xmlns:c16="http://schemas.microsoft.com/office/drawing/2014/chart" uri="{C3380CC4-5D6E-409C-BE32-E72D297353CC}">
                <c16:uniqueId val="{00000093-4B1E-4F47-B968-D043A553D8A2}"/>
              </c:ext>
            </c:extLst>
          </c:dPt>
          <c:dPt>
            <c:idx val="74"/>
            <c:bubble3D val="0"/>
            <c:spPr>
              <a:solidFill>
                <a:schemeClr val="accent3">
                  <a:lumMod val="80000"/>
                </a:schemeClr>
              </a:solidFill>
              <a:ln>
                <a:noFill/>
              </a:ln>
              <a:effectLst/>
              <a:sp3d/>
            </c:spPr>
            <c:extLst>
              <c:ext xmlns:c16="http://schemas.microsoft.com/office/drawing/2014/chart" uri="{C3380CC4-5D6E-409C-BE32-E72D297353CC}">
                <c16:uniqueId val="{00000095-4B1E-4F47-B968-D043A553D8A2}"/>
              </c:ext>
            </c:extLst>
          </c:dPt>
          <c:dPt>
            <c:idx val="75"/>
            <c:bubble3D val="0"/>
            <c:spPr>
              <a:solidFill>
                <a:schemeClr val="accent4">
                  <a:lumMod val="80000"/>
                </a:schemeClr>
              </a:solidFill>
              <a:ln>
                <a:noFill/>
              </a:ln>
              <a:effectLst/>
              <a:sp3d/>
            </c:spPr>
            <c:extLst>
              <c:ext xmlns:c16="http://schemas.microsoft.com/office/drawing/2014/chart" uri="{C3380CC4-5D6E-409C-BE32-E72D297353CC}">
                <c16:uniqueId val="{00000097-4B1E-4F47-B968-D043A553D8A2}"/>
              </c:ext>
            </c:extLst>
          </c:dPt>
          <c:dPt>
            <c:idx val="76"/>
            <c:bubble3D val="0"/>
            <c:spPr>
              <a:solidFill>
                <a:schemeClr val="accent5">
                  <a:lumMod val="80000"/>
                </a:schemeClr>
              </a:solidFill>
              <a:ln>
                <a:noFill/>
              </a:ln>
              <a:effectLst/>
              <a:sp3d/>
            </c:spPr>
            <c:extLst>
              <c:ext xmlns:c16="http://schemas.microsoft.com/office/drawing/2014/chart" uri="{C3380CC4-5D6E-409C-BE32-E72D297353CC}">
                <c16:uniqueId val="{00000099-4B1E-4F47-B968-D043A553D8A2}"/>
              </c:ext>
            </c:extLst>
          </c:dPt>
          <c:dPt>
            <c:idx val="77"/>
            <c:bubble3D val="0"/>
            <c:spPr>
              <a:solidFill>
                <a:schemeClr val="accent6">
                  <a:lumMod val="80000"/>
                </a:schemeClr>
              </a:solidFill>
              <a:ln>
                <a:noFill/>
              </a:ln>
              <a:effectLst/>
              <a:sp3d/>
            </c:spPr>
            <c:extLst>
              <c:ext xmlns:c16="http://schemas.microsoft.com/office/drawing/2014/chart" uri="{C3380CC4-5D6E-409C-BE32-E72D297353CC}">
                <c16:uniqueId val="{0000009B-4B1E-4F47-B968-D043A553D8A2}"/>
              </c:ext>
            </c:extLst>
          </c:dPt>
          <c:dPt>
            <c:idx val="78"/>
            <c:bubble3D val="0"/>
            <c:spPr>
              <a:solidFill>
                <a:schemeClr val="accent1">
                  <a:lumMod val="60000"/>
                  <a:lumOff val="40000"/>
                </a:schemeClr>
              </a:solidFill>
              <a:ln>
                <a:noFill/>
              </a:ln>
              <a:effectLst/>
              <a:sp3d/>
            </c:spPr>
            <c:extLst>
              <c:ext xmlns:c16="http://schemas.microsoft.com/office/drawing/2014/chart" uri="{C3380CC4-5D6E-409C-BE32-E72D297353CC}">
                <c16:uniqueId val="{0000009D-4B1E-4F47-B968-D043A553D8A2}"/>
              </c:ext>
            </c:extLst>
          </c:dPt>
          <c:dPt>
            <c:idx val="79"/>
            <c:bubble3D val="0"/>
            <c:spPr>
              <a:solidFill>
                <a:schemeClr val="accent2">
                  <a:lumMod val="60000"/>
                  <a:lumOff val="40000"/>
                </a:schemeClr>
              </a:solidFill>
              <a:ln>
                <a:noFill/>
              </a:ln>
              <a:effectLst/>
              <a:sp3d/>
            </c:spPr>
            <c:extLst>
              <c:ext xmlns:c16="http://schemas.microsoft.com/office/drawing/2014/chart" uri="{C3380CC4-5D6E-409C-BE32-E72D297353CC}">
                <c16:uniqueId val="{0000009F-4B1E-4F47-B968-D043A553D8A2}"/>
              </c:ext>
            </c:extLst>
          </c:dPt>
          <c:dPt>
            <c:idx val="80"/>
            <c:bubble3D val="0"/>
            <c:spPr>
              <a:solidFill>
                <a:schemeClr val="accent3">
                  <a:lumMod val="60000"/>
                  <a:lumOff val="40000"/>
                </a:schemeClr>
              </a:solidFill>
              <a:ln>
                <a:noFill/>
              </a:ln>
              <a:effectLst/>
              <a:sp3d/>
            </c:spPr>
            <c:extLst>
              <c:ext xmlns:c16="http://schemas.microsoft.com/office/drawing/2014/chart" uri="{C3380CC4-5D6E-409C-BE32-E72D297353CC}">
                <c16:uniqueId val="{000000A1-4B1E-4F47-B968-D043A553D8A2}"/>
              </c:ext>
            </c:extLst>
          </c:dPt>
          <c:dPt>
            <c:idx val="81"/>
            <c:bubble3D val="0"/>
            <c:spPr>
              <a:solidFill>
                <a:schemeClr val="accent4">
                  <a:lumMod val="60000"/>
                  <a:lumOff val="40000"/>
                </a:schemeClr>
              </a:solidFill>
              <a:ln>
                <a:noFill/>
              </a:ln>
              <a:effectLst/>
              <a:sp3d/>
            </c:spPr>
            <c:extLst>
              <c:ext xmlns:c16="http://schemas.microsoft.com/office/drawing/2014/chart" uri="{C3380CC4-5D6E-409C-BE32-E72D297353CC}">
                <c16:uniqueId val="{000000A3-4B1E-4F47-B968-D043A553D8A2}"/>
              </c:ext>
            </c:extLst>
          </c:dPt>
          <c:dPt>
            <c:idx val="82"/>
            <c:bubble3D val="0"/>
            <c:spPr>
              <a:solidFill>
                <a:schemeClr val="accent5">
                  <a:lumMod val="60000"/>
                  <a:lumOff val="40000"/>
                </a:schemeClr>
              </a:solidFill>
              <a:ln>
                <a:noFill/>
              </a:ln>
              <a:effectLst/>
              <a:sp3d/>
            </c:spPr>
            <c:extLst>
              <c:ext xmlns:c16="http://schemas.microsoft.com/office/drawing/2014/chart" uri="{C3380CC4-5D6E-409C-BE32-E72D297353CC}">
                <c16:uniqueId val="{000000A5-4B1E-4F47-B968-D043A553D8A2}"/>
              </c:ext>
            </c:extLst>
          </c:dPt>
          <c:dPt>
            <c:idx val="83"/>
            <c:bubble3D val="0"/>
            <c:spPr>
              <a:solidFill>
                <a:schemeClr val="accent6">
                  <a:lumMod val="60000"/>
                  <a:lumOff val="40000"/>
                </a:schemeClr>
              </a:solidFill>
              <a:ln>
                <a:noFill/>
              </a:ln>
              <a:effectLst/>
              <a:sp3d/>
            </c:spPr>
            <c:extLst>
              <c:ext xmlns:c16="http://schemas.microsoft.com/office/drawing/2014/chart" uri="{C3380CC4-5D6E-409C-BE32-E72D297353CC}">
                <c16:uniqueId val="{000000A7-4B1E-4F47-B968-D043A553D8A2}"/>
              </c:ext>
            </c:extLst>
          </c:dPt>
          <c:dPt>
            <c:idx val="84"/>
            <c:bubble3D val="0"/>
            <c:spPr>
              <a:solidFill>
                <a:schemeClr val="accent1">
                  <a:lumMod val="50000"/>
                </a:schemeClr>
              </a:solidFill>
              <a:ln>
                <a:noFill/>
              </a:ln>
              <a:effectLst/>
              <a:sp3d/>
            </c:spPr>
            <c:extLst>
              <c:ext xmlns:c16="http://schemas.microsoft.com/office/drawing/2014/chart" uri="{C3380CC4-5D6E-409C-BE32-E72D297353CC}">
                <c16:uniqueId val="{000000A9-4B1E-4F47-B968-D043A553D8A2}"/>
              </c:ext>
            </c:extLst>
          </c:dPt>
          <c:dPt>
            <c:idx val="85"/>
            <c:bubble3D val="0"/>
            <c:spPr>
              <a:solidFill>
                <a:schemeClr val="accent2">
                  <a:lumMod val="50000"/>
                </a:schemeClr>
              </a:solidFill>
              <a:ln>
                <a:noFill/>
              </a:ln>
              <a:effectLst/>
              <a:sp3d/>
            </c:spPr>
            <c:extLst>
              <c:ext xmlns:c16="http://schemas.microsoft.com/office/drawing/2014/chart" uri="{C3380CC4-5D6E-409C-BE32-E72D297353CC}">
                <c16:uniqueId val="{000000AB-4B1E-4F47-B968-D043A553D8A2}"/>
              </c:ext>
            </c:extLst>
          </c:dPt>
          <c:dPt>
            <c:idx val="86"/>
            <c:bubble3D val="0"/>
            <c:spPr>
              <a:solidFill>
                <a:schemeClr val="accent3">
                  <a:lumMod val="50000"/>
                </a:schemeClr>
              </a:solidFill>
              <a:ln>
                <a:noFill/>
              </a:ln>
              <a:effectLst/>
              <a:sp3d/>
            </c:spPr>
            <c:extLst>
              <c:ext xmlns:c16="http://schemas.microsoft.com/office/drawing/2014/chart" uri="{C3380CC4-5D6E-409C-BE32-E72D297353CC}">
                <c16:uniqueId val="{000000AD-4B1E-4F47-B968-D043A553D8A2}"/>
              </c:ext>
            </c:extLst>
          </c:dPt>
          <c:dPt>
            <c:idx val="87"/>
            <c:bubble3D val="0"/>
            <c:spPr>
              <a:solidFill>
                <a:schemeClr val="accent4">
                  <a:lumMod val="50000"/>
                </a:schemeClr>
              </a:solidFill>
              <a:ln>
                <a:noFill/>
              </a:ln>
              <a:effectLst/>
              <a:sp3d/>
            </c:spPr>
            <c:extLst>
              <c:ext xmlns:c16="http://schemas.microsoft.com/office/drawing/2014/chart" uri="{C3380CC4-5D6E-409C-BE32-E72D297353CC}">
                <c16:uniqueId val="{000000AF-4B1E-4F47-B968-D043A553D8A2}"/>
              </c:ext>
            </c:extLst>
          </c:dPt>
          <c:dPt>
            <c:idx val="88"/>
            <c:bubble3D val="0"/>
            <c:spPr>
              <a:solidFill>
                <a:schemeClr val="accent5">
                  <a:lumMod val="50000"/>
                </a:schemeClr>
              </a:solidFill>
              <a:ln>
                <a:noFill/>
              </a:ln>
              <a:effectLst/>
              <a:sp3d/>
            </c:spPr>
            <c:extLst>
              <c:ext xmlns:c16="http://schemas.microsoft.com/office/drawing/2014/chart" uri="{C3380CC4-5D6E-409C-BE32-E72D297353CC}">
                <c16:uniqueId val="{000000B1-4B1E-4F47-B968-D043A553D8A2}"/>
              </c:ext>
            </c:extLst>
          </c:dPt>
          <c:dPt>
            <c:idx val="89"/>
            <c:bubble3D val="0"/>
            <c:spPr>
              <a:solidFill>
                <a:schemeClr val="accent6">
                  <a:lumMod val="50000"/>
                </a:schemeClr>
              </a:solidFill>
              <a:ln>
                <a:noFill/>
              </a:ln>
              <a:effectLst/>
              <a:sp3d/>
            </c:spPr>
            <c:extLst>
              <c:ext xmlns:c16="http://schemas.microsoft.com/office/drawing/2014/chart" uri="{C3380CC4-5D6E-409C-BE32-E72D297353CC}">
                <c16:uniqueId val="{000000B3-4B1E-4F47-B968-D043A553D8A2}"/>
              </c:ext>
            </c:extLst>
          </c:dPt>
          <c:dPt>
            <c:idx val="90"/>
            <c:bubble3D val="0"/>
            <c:spPr>
              <a:solidFill>
                <a:schemeClr val="accent1">
                  <a:lumMod val="70000"/>
                  <a:lumOff val="30000"/>
                </a:schemeClr>
              </a:solidFill>
              <a:ln>
                <a:noFill/>
              </a:ln>
              <a:effectLst/>
              <a:sp3d/>
            </c:spPr>
            <c:extLst>
              <c:ext xmlns:c16="http://schemas.microsoft.com/office/drawing/2014/chart" uri="{C3380CC4-5D6E-409C-BE32-E72D297353CC}">
                <c16:uniqueId val="{000000B5-4B1E-4F47-B968-D043A553D8A2}"/>
              </c:ext>
            </c:extLst>
          </c:dPt>
          <c:dPt>
            <c:idx val="91"/>
            <c:bubble3D val="0"/>
            <c:spPr>
              <a:solidFill>
                <a:schemeClr val="accent2">
                  <a:lumMod val="70000"/>
                  <a:lumOff val="30000"/>
                </a:schemeClr>
              </a:solidFill>
              <a:ln>
                <a:noFill/>
              </a:ln>
              <a:effectLst/>
              <a:sp3d/>
            </c:spPr>
            <c:extLst>
              <c:ext xmlns:c16="http://schemas.microsoft.com/office/drawing/2014/chart" uri="{C3380CC4-5D6E-409C-BE32-E72D297353CC}">
                <c16:uniqueId val="{000000B7-4B1E-4F47-B968-D043A553D8A2}"/>
              </c:ext>
            </c:extLst>
          </c:dPt>
          <c:dPt>
            <c:idx val="92"/>
            <c:bubble3D val="0"/>
            <c:spPr>
              <a:solidFill>
                <a:schemeClr val="accent3">
                  <a:lumMod val="70000"/>
                  <a:lumOff val="30000"/>
                </a:schemeClr>
              </a:solidFill>
              <a:ln>
                <a:noFill/>
              </a:ln>
              <a:effectLst/>
              <a:sp3d/>
            </c:spPr>
            <c:extLst>
              <c:ext xmlns:c16="http://schemas.microsoft.com/office/drawing/2014/chart" uri="{C3380CC4-5D6E-409C-BE32-E72D297353CC}">
                <c16:uniqueId val="{000000B9-4B1E-4F47-B968-D043A553D8A2}"/>
              </c:ext>
            </c:extLst>
          </c:dPt>
          <c:dPt>
            <c:idx val="93"/>
            <c:bubble3D val="0"/>
            <c:spPr>
              <a:solidFill>
                <a:schemeClr val="accent4">
                  <a:lumMod val="70000"/>
                  <a:lumOff val="30000"/>
                </a:schemeClr>
              </a:solidFill>
              <a:ln>
                <a:noFill/>
              </a:ln>
              <a:effectLst/>
              <a:sp3d/>
            </c:spPr>
            <c:extLst>
              <c:ext xmlns:c16="http://schemas.microsoft.com/office/drawing/2014/chart" uri="{C3380CC4-5D6E-409C-BE32-E72D297353CC}">
                <c16:uniqueId val="{000000BB-4B1E-4F47-B968-D043A553D8A2}"/>
              </c:ext>
            </c:extLst>
          </c:dPt>
          <c:dPt>
            <c:idx val="94"/>
            <c:bubble3D val="0"/>
            <c:spPr>
              <a:solidFill>
                <a:schemeClr val="accent5">
                  <a:lumMod val="70000"/>
                  <a:lumOff val="30000"/>
                </a:schemeClr>
              </a:solidFill>
              <a:ln>
                <a:noFill/>
              </a:ln>
              <a:effectLst/>
              <a:sp3d/>
            </c:spPr>
            <c:extLst>
              <c:ext xmlns:c16="http://schemas.microsoft.com/office/drawing/2014/chart" uri="{C3380CC4-5D6E-409C-BE32-E72D297353CC}">
                <c16:uniqueId val="{000000BD-4B1E-4F47-B968-D043A553D8A2}"/>
              </c:ext>
            </c:extLst>
          </c:dPt>
          <c:dPt>
            <c:idx val="95"/>
            <c:bubble3D val="0"/>
            <c:spPr>
              <a:solidFill>
                <a:schemeClr val="accent6">
                  <a:lumMod val="70000"/>
                  <a:lumOff val="30000"/>
                </a:schemeClr>
              </a:solidFill>
              <a:ln>
                <a:noFill/>
              </a:ln>
              <a:effectLst/>
              <a:sp3d/>
            </c:spPr>
            <c:extLst>
              <c:ext xmlns:c16="http://schemas.microsoft.com/office/drawing/2014/chart" uri="{C3380CC4-5D6E-409C-BE32-E72D297353CC}">
                <c16:uniqueId val="{000000BF-4B1E-4F47-B968-D043A553D8A2}"/>
              </c:ext>
            </c:extLst>
          </c:dPt>
          <c:dPt>
            <c:idx val="96"/>
            <c:bubble3D val="0"/>
            <c:spPr>
              <a:solidFill>
                <a:schemeClr val="accent1">
                  <a:lumMod val="70000"/>
                </a:schemeClr>
              </a:solidFill>
              <a:ln>
                <a:noFill/>
              </a:ln>
              <a:effectLst/>
              <a:sp3d/>
            </c:spPr>
            <c:extLst>
              <c:ext xmlns:c16="http://schemas.microsoft.com/office/drawing/2014/chart" uri="{C3380CC4-5D6E-409C-BE32-E72D297353CC}">
                <c16:uniqueId val="{000000C1-4B1E-4F47-B968-D043A553D8A2}"/>
              </c:ext>
            </c:extLst>
          </c:dPt>
          <c:dPt>
            <c:idx val="97"/>
            <c:bubble3D val="0"/>
            <c:spPr>
              <a:solidFill>
                <a:schemeClr val="accent2">
                  <a:lumMod val="70000"/>
                </a:schemeClr>
              </a:solidFill>
              <a:ln>
                <a:noFill/>
              </a:ln>
              <a:effectLst/>
              <a:sp3d/>
            </c:spPr>
            <c:extLst>
              <c:ext xmlns:c16="http://schemas.microsoft.com/office/drawing/2014/chart" uri="{C3380CC4-5D6E-409C-BE32-E72D297353CC}">
                <c16:uniqueId val="{000000C3-4B1E-4F47-B968-D043A553D8A2}"/>
              </c:ext>
            </c:extLst>
          </c:dPt>
          <c:dPt>
            <c:idx val="98"/>
            <c:bubble3D val="0"/>
            <c:spPr>
              <a:solidFill>
                <a:schemeClr val="accent3">
                  <a:lumMod val="70000"/>
                </a:schemeClr>
              </a:solidFill>
              <a:ln>
                <a:noFill/>
              </a:ln>
              <a:effectLst/>
              <a:sp3d/>
            </c:spPr>
            <c:extLst>
              <c:ext xmlns:c16="http://schemas.microsoft.com/office/drawing/2014/chart" uri="{C3380CC4-5D6E-409C-BE32-E72D297353CC}">
                <c16:uniqueId val="{000000C5-4B1E-4F47-B968-D043A553D8A2}"/>
              </c:ext>
            </c:extLst>
          </c:dPt>
          <c:dPt>
            <c:idx val="99"/>
            <c:bubble3D val="0"/>
            <c:spPr>
              <a:solidFill>
                <a:schemeClr val="accent4">
                  <a:lumMod val="70000"/>
                </a:schemeClr>
              </a:solidFill>
              <a:ln>
                <a:noFill/>
              </a:ln>
              <a:effectLst/>
              <a:sp3d/>
            </c:spPr>
            <c:extLst>
              <c:ext xmlns:c16="http://schemas.microsoft.com/office/drawing/2014/chart" uri="{C3380CC4-5D6E-409C-BE32-E72D297353CC}">
                <c16:uniqueId val="{000000C7-4B1E-4F47-B968-D043A553D8A2}"/>
              </c:ext>
            </c:extLst>
          </c:dPt>
          <c:dPt>
            <c:idx val="100"/>
            <c:bubble3D val="0"/>
            <c:spPr>
              <a:solidFill>
                <a:schemeClr val="accent5">
                  <a:lumMod val="70000"/>
                </a:schemeClr>
              </a:solidFill>
              <a:ln>
                <a:noFill/>
              </a:ln>
              <a:effectLst/>
              <a:sp3d/>
            </c:spPr>
            <c:extLst>
              <c:ext xmlns:c16="http://schemas.microsoft.com/office/drawing/2014/chart" uri="{C3380CC4-5D6E-409C-BE32-E72D297353CC}">
                <c16:uniqueId val="{000000C9-4B1E-4F47-B968-D043A553D8A2}"/>
              </c:ext>
            </c:extLst>
          </c:dPt>
          <c:dPt>
            <c:idx val="101"/>
            <c:bubble3D val="0"/>
            <c:spPr>
              <a:solidFill>
                <a:schemeClr val="accent6">
                  <a:lumMod val="70000"/>
                </a:schemeClr>
              </a:solidFill>
              <a:ln>
                <a:noFill/>
              </a:ln>
              <a:effectLst/>
              <a:sp3d/>
            </c:spPr>
            <c:extLst>
              <c:ext xmlns:c16="http://schemas.microsoft.com/office/drawing/2014/chart" uri="{C3380CC4-5D6E-409C-BE32-E72D297353CC}">
                <c16:uniqueId val="{000000CB-4B1E-4F47-B968-D043A553D8A2}"/>
              </c:ext>
            </c:extLst>
          </c:dPt>
          <c:dPt>
            <c:idx val="102"/>
            <c:bubble3D val="0"/>
            <c:spPr>
              <a:solidFill>
                <a:schemeClr val="accent1">
                  <a:lumMod val="50000"/>
                  <a:lumOff val="50000"/>
                </a:schemeClr>
              </a:solidFill>
              <a:ln>
                <a:noFill/>
              </a:ln>
              <a:effectLst/>
              <a:sp3d/>
            </c:spPr>
            <c:extLst>
              <c:ext xmlns:c16="http://schemas.microsoft.com/office/drawing/2014/chart" uri="{C3380CC4-5D6E-409C-BE32-E72D297353CC}">
                <c16:uniqueId val="{000000CD-4B1E-4F47-B968-D043A553D8A2}"/>
              </c:ext>
            </c:extLst>
          </c:dPt>
          <c:dPt>
            <c:idx val="103"/>
            <c:bubble3D val="0"/>
            <c:spPr>
              <a:solidFill>
                <a:schemeClr val="accent2">
                  <a:lumMod val="50000"/>
                  <a:lumOff val="50000"/>
                </a:schemeClr>
              </a:solidFill>
              <a:ln>
                <a:noFill/>
              </a:ln>
              <a:effectLst/>
              <a:sp3d/>
            </c:spPr>
            <c:extLst>
              <c:ext xmlns:c16="http://schemas.microsoft.com/office/drawing/2014/chart" uri="{C3380CC4-5D6E-409C-BE32-E72D297353CC}">
                <c16:uniqueId val="{000000CF-4B1E-4F47-B968-D043A553D8A2}"/>
              </c:ext>
            </c:extLst>
          </c:dPt>
          <c:dPt>
            <c:idx val="104"/>
            <c:bubble3D val="0"/>
            <c:spPr>
              <a:solidFill>
                <a:schemeClr val="accent3">
                  <a:lumMod val="50000"/>
                  <a:lumOff val="50000"/>
                </a:schemeClr>
              </a:solidFill>
              <a:ln>
                <a:noFill/>
              </a:ln>
              <a:effectLst/>
              <a:sp3d/>
            </c:spPr>
            <c:extLst>
              <c:ext xmlns:c16="http://schemas.microsoft.com/office/drawing/2014/chart" uri="{C3380CC4-5D6E-409C-BE32-E72D297353CC}">
                <c16:uniqueId val="{000000D1-4B1E-4F47-B968-D043A553D8A2}"/>
              </c:ext>
            </c:extLst>
          </c:dPt>
          <c:dPt>
            <c:idx val="105"/>
            <c:bubble3D val="0"/>
            <c:spPr>
              <a:solidFill>
                <a:schemeClr val="accent4">
                  <a:lumMod val="50000"/>
                  <a:lumOff val="50000"/>
                </a:schemeClr>
              </a:solidFill>
              <a:ln>
                <a:noFill/>
              </a:ln>
              <a:effectLst/>
              <a:sp3d/>
            </c:spPr>
            <c:extLst>
              <c:ext xmlns:c16="http://schemas.microsoft.com/office/drawing/2014/chart" uri="{C3380CC4-5D6E-409C-BE32-E72D297353CC}">
                <c16:uniqueId val="{000000D3-4B1E-4F47-B968-D043A553D8A2}"/>
              </c:ext>
            </c:extLst>
          </c:dPt>
          <c:dPt>
            <c:idx val="106"/>
            <c:bubble3D val="0"/>
            <c:spPr>
              <a:solidFill>
                <a:schemeClr val="accent5">
                  <a:lumMod val="50000"/>
                  <a:lumOff val="50000"/>
                </a:schemeClr>
              </a:solidFill>
              <a:ln>
                <a:noFill/>
              </a:ln>
              <a:effectLst/>
              <a:sp3d/>
            </c:spPr>
            <c:extLst>
              <c:ext xmlns:c16="http://schemas.microsoft.com/office/drawing/2014/chart" uri="{C3380CC4-5D6E-409C-BE32-E72D297353CC}">
                <c16:uniqueId val="{000000D5-4B1E-4F47-B968-D043A553D8A2}"/>
              </c:ext>
            </c:extLst>
          </c:dPt>
          <c:dPt>
            <c:idx val="107"/>
            <c:bubble3D val="0"/>
            <c:spPr>
              <a:solidFill>
                <a:schemeClr val="accent6">
                  <a:lumMod val="50000"/>
                  <a:lumOff val="50000"/>
                </a:schemeClr>
              </a:solidFill>
              <a:ln>
                <a:noFill/>
              </a:ln>
              <a:effectLst/>
              <a:sp3d/>
            </c:spPr>
            <c:extLst>
              <c:ext xmlns:c16="http://schemas.microsoft.com/office/drawing/2014/chart" uri="{C3380CC4-5D6E-409C-BE32-E72D297353CC}">
                <c16:uniqueId val="{000000D7-4B1E-4F47-B968-D043A553D8A2}"/>
              </c:ext>
            </c:extLst>
          </c:dPt>
          <c:dPt>
            <c:idx val="108"/>
            <c:bubble3D val="0"/>
            <c:spPr>
              <a:solidFill>
                <a:schemeClr val="accent1"/>
              </a:solidFill>
              <a:ln>
                <a:noFill/>
              </a:ln>
              <a:effectLst/>
              <a:sp3d/>
            </c:spPr>
            <c:extLst>
              <c:ext xmlns:c16="http://schemas.microsoft.com/office/drawing/2014/chart" uri="{C3380CC4-5D6E-409C-BE32-E72D297353CC}">
                <c16:uniqueId val="{000000D9-4B1E-4F47-B968-D043A553D8A2}"/>
              </c:ext>
            </c:extLst>
          </c:dPt>
          <c:cat>
            <c:strRef>
              <c:f>PPA!$A$151:$A$260</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PPA!$B$151:$B$260</c:f>
              <c:numCache>
                <c:formatCode>General</c:formatCode>
                <c:ptCount val="109"/>
                <c:pt idx="0">
                  <c:v>4.5</c:v>
                </c:pt>
                <c:pt idx="1">
                  <c:v>4.7</c:v>
                </c:pt>
                <c:pt idx="2">
                  <c:v>4.5</c:v>
                </c:pt>
                <c:pt idx="3">
                  <c:v>3.8</c:v>
                </c:pt>
                <c:pt idx="4">
                  <c:v>4.7</c:v>
                </c:pt>
                <c:pt idx="5">
                  <c:v>2.8</c:v>
                </c:pt>
                <c:pt idx="6">
                  <c:v>3.8</c:v>
                </c:pt>
                <c:pt idx="7">
                  <c:v>3.8</c:v>
                </c:pt>
                <c:pt idx="8">
                  <c:v>4.5999999999999996</c:v>
                </c:pt>
                <c:pt idx="9">
                  <c:v>3.8</c:v>
                </c:pt>
                <c:pt idx="10">
                  <c:v>3.8</c:v>
                </c:pt>
                <c:pt idx="11">
                  <c:v>4</c:v>
                </c:pt>
                <c:pt idx="12">
                  <c:v>3.8</c:v>
                </c:pt>
                <c:pt idx="13">
                  <c:v>3.8</c:v>
                </c:pt>
                <c:pt idx="14">
                  <c:v>3.8</c:v>
                </c:pt>
                <c:pt idx="15">
                  <c:v>3.8</c:v>
                </c:pt>
                <c:pt idx="16">
                  <c:v>3</c:v>
                </c:pt>
                <c:pt idx="17">
                  <c:v>2.2999999999999998</c:v>
                </c:pt>
                <c:pt idx="18">
                  <c:v>4.5999999999999996</c:v>
                </c:pt>
                <c:pt idx="19">
                  <c:v>3.8</c:v>
                </c:pt>
                <c:pt idx="20">
                  <c:v>3.3</c:v>
                </c:pt>
                <c:pt idx="21">
                  <c:v>3.8</c:v>
                </c:pt>
                <c:pt idx="22">
                  <c:v>4.8</c:v>
                </c:pt>
                <c:pt idx="23">
                  <c:v>3.8</c:v>
                </c:pt>
                <c:pt idx="24">
                  <c:v>3.3</c:v>
                </c:pt>
                <c:pt idx="25">
                  <c:v>2.5</c:v>
                </c:pt>
                <c:pt idx="26">
                  <c:v>4.0999999999999996</c:v>
                </c:pt>
                <c:pt idx="27">
                  <c:v>4.5</c:v>
                </c:pt>
                <c:pt idx="28">
                  <c:v>4.7</c:v>
                </c:pt>
                <c:pt idx="29">
                  <c:v>3.8</c:v>
                </c:pt>
                <c:pt idx="30">
                  <c:v>2.1</c:v>
                </c:pt>
                <c:pt idx="31">
                  <c:v>3.8</c:v>
                </c:pt>
                <c:pt idx="32">
                  <c:v>3.8</c:v>
                </c:pt>
                <c:pt idx="33">
                  <c:v>3.8</c:v>
                </c:pt>
                <c:pt idx="34">
                  <c:v>3.8</c:v>
                </c:pt>
                <c:pt idx="35">
                  <c:v>2.2000000000000002</c:v>
                </c:pt>
                <c:pt idx="36">
                  <c:v>3.8</c:v>
                </c:pt>
                <c:pt idx="37">
                  <c:v>3.8</c:v>
                </c:pt>
                <c:pt idx="38">
                  <c:v>2.6</c:v>
                </c:pt>
                <c:pt idx="39">
                  <c:v>3.8</c:v>
                </c:pt>
                <c:pt idx="40">
                  <c:v>5</c:v>
                </c:pt>
                <c:pt idx="41">
                  <c:v>2.2000000000000002</c:v>
                </c:pt>
                <c:pt idx="42">
                  <c:v>3.8</c:v>
                </c:pt>
                <c:pt idx="43">
                  <c:v>3.8</c:v>
                </c:pt>
                <c:pt idx="44">
                  <c:v>5</c:v>
                </c:pt>
                <c:pt idx="45">
                  <c:v>3.8</c:v>
                </c:pt>
                <c:pt idx="46">
                  <c:v>3.8</c:v>
                </c:pt>
                <c:pt idx="47">
                  <c:v>3.8</c:v>
                </c:pt>
                <c:pt idx="48">
                  <c:v>3.8</c:v>
                </c:pt>
                <c:pt idx="49">
                  <c:v>3.8</c:v>
                </c:pt>
                <c:pt idx="50">
                  <c:v>3.8</c:v>
                </c:pt>
                <c:pt idx="51">
                  <c:v>3.8</c:v>
                </c:pt>
                <c:pt idx="52">
                  <c:v>5</c:v>
                </c:pt>
                <c:pt idx="53">
                  <c:v>3.8</c:v>
                </c:pt>
                <c:pt idx="54">
                  <c:v>3.8</c:v>
                </c:pt>
                <c:pt idx="55">
                  <c:v>3.8</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1">
                  <c:v>3.8</c:v>
                </c:pt>
                <c:pt idx="72">
                  <c:v>4.3</c:v>
                </c:pt>
                <c:pt idx="73">
                  <c:v>4</c:v>
                </c:pt>
                <c:pt idx="74">
                  <c:v>3.8</c:v>
                </c:pt>
                <c:pt idx="75">
                  <c:v>4.5999999999999996</c:v>
                </c:pt>
                <c:pt idx="76">
                  <c:v>3</c:v>
                </c:pt>
                <c:pt idx="77">
                  <c:v>4.0999999999999996</c:v>
                </c:pt>
                <c:pt idx="78">
                  <c:v>3.8</c:v>
                </c:pt>
                <c:pt idx="79">
                  <c:v>3.8</c:v>
                </c:pt>
                <c:pt idx="80">
                  <c:v>4.2</c:v>
                </c:pt>
                <c:pt idx="81">
                  <c:v>3.8</c:v>
                </c:pt>
                <c:pt idx="82">
                  <c:v>3.8</c:v>
                </c:pt>
                <c:pt idx="83">
                  <c:v>3.8</c:v>
                </c:pt>
                <c:pt idx="84">
                  <c:v>3</c:v>
                </c:pt>
                <c:pt idx="85">
                  <c:v>3.8</c:v>
                </c:pt>
                <c:pt idx="86">
                  <c:v>3.8</c:v>
                </c:pt>
                <c:pt idx="87">
                  <c:v>5</c:v>
                </c:pt>
                <c:pt idx="88">
                  <c:v>3.8</c:v>
                </c:pt>
                <c:pt idx="89">
                  <c:v>3.8</c:v>
                </c:pt>
                <c:pt idx="90">
                  <c:v>4.8</c:v>
                </c:pt>
                <c:pt idx="91">
                  <c:v>4.5999999999999996</c:v>
                </c:pt>
                <c:pt idx="92">
                  <c:v>3.8</c:v>
                </c:pt>
                <c:pt idx="93">
                  <c:v>3.8</c:v>
                </c:pt>
                <c:pt idx="94">
                  <c:v>3.8</c:v>
                </c:pt>
                <c:pt idx="95">
                  <c:v>4.3</c:v>
                </c:pt>
                <c:pt idx="96">
                  <c:v>3.8</c:v>
                </c:pt>
                <c:pt idx="97">
                  <c:v>3.8</c:v>
                </c:pt>
                <c:pt idx="98">
                  <c:v>3.8</c:v>
                </c:pt>
                <c:pt idx="99">
                  <c:v>3.8</c:v>
                </c:pt>
                <c:pt idx="100">
                  <c:v>3.8</c:v>
                </c:pt>
                <c:pt idx="101">
                  <c:v>2.9</c:v>
                </c:pt>
                <c:pt idx="102">
                  <c:v>3.8</c:v>
                </c:pt>
                <c:pt idx="103">
                  <c:v>3.8</c:v>
                </c:pt>
                <c:pt idx="104">
                  <c:v>2</c:v>
                </c:pt>
                <c:pt idx="105">
                  <c:v>3.8</c:v>
                </c:pt>
                <c:pt idx="106">
                  <c:v>2.2999999999999998</c:v>
                </c:pt>
                <c:pt idx="107">
                  <c:v>4.7</c:v>
                </c:pt>
                <c:pt idx="108">
                  <c:v>3</c:v>
                </c:pt>
              </c:numCache>
            </c:numRef>
          </c:val>
          <c:extLst>
            <c:ext xmlns:c16="http://schemas.microsoft.com/office/drawing/2014/chart" uri="{C3380CC4-5D6E-409C-BE32-E72D297353CC}">
              <c16:uniqueId val="{000000DA-4B1E-4F47-B968-D043A553D8A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PPA!$B$269</c:f>
              <c:strCache>
                <c:ptCount val="1"/>
                <c:pt idx="0">
                  <c:v>Total</c:v>
                </c:pt>
              </c:strCache>
            </c:strRef>
          </c:tx>
          <c:spPr>
            <a:solidFill>
              <a:schemeClr val="accent1"/>
            </a:solidFill>
            <a:ln>
              <a:noFill/>
            </a:ln>
            <a:effectLst/>
          </c:spPr>
          <c:invertIfNegative val="0"/>
          <c:cat>
            <c:strRef>
              <c:f>PPA!$A$270:$A$383</c:f>
              <c:strCache>
                <c:ptCount val="113"/>
                <c:pt idx="0">
                  <c:v>                                                                                                                              MAX</c:v>
                </c:pt>
                <c:pt idx="1">
                  <c:v>                                                                                                                             MIN</c:v>
                </c:pt>
                <c:pt idx="2">
                  <c:v>                                                                                                                            AVERAGE</c:v>
                </c:pt>
                <c:pt idx="3">
                  <c:v>1/2/3 Seater Elastic Sofa Cover,Living Room/Home Decor Chair Cover-Grey</c:v>
                </c:pt>
                <c:pt idx="4">
                  <c:v>100 Pcs Crochet Hook Tool Set Knitting Hook Set With Box</c:v>
                </c:pt>
                <c:pt idx="5">
                  <c:v>115  Piece Set Of Multifunctional Precision Screwdrivers</c:v>
                </c:pt>
                <c:pt idx="6">
                  <c:v>12 Litre Black Insulated Lunch Box</c:v>
                </c:pt>
                <c:pt idx="7">
                  <c:v>12 Litre Insulated Lunch Box Grey</c:v>
                </c:pt>
                <c:pt idx="8">
                  <c:v>120W Cordless Vacuum Cleaners Handheld Electric Vacuum Cleaner</c:v>
                </c:pt>
                <c:pt idx="9">
                  <c:v>12V 19500rpm Handheld Electric Angle Grinder Tool - UK - Yellow/Black</c:v>
                </c:pt>
                <c:pt idx="10">
                  <c:v>13 In 1 Home Repair Tools Box Kit Set</c:v>
                </c:pt>
                <c:pt idx="11">
                  <c:v>137 Pieces Cake Decorating Tool Set Baking Supplies</c:v>
                </c:pt>
                <c:pt idx="12">
                  <c:v>1PC Refrigerator Food Seal Pocket Fridge Bags</c:v>
                </c:pt>
                <c:pt idx="13">
                  <c:v>2 Pairs Cowhide Split Leather Work Gloves.32â„‰ Or Above Welding Gloves</c:v>
                </c:pt>
                <c:pt idx="14">
                  <c:v>220V 60W Electric Soldering Iron Kits With Tools, Tips, And Multimeter</c:v>
                </c:pt>
                <c:pt idx="15">
                  <c:v>24 Grid Wall-mounted Sundries Organiser Fabric Closet Bag Storage Rack</c:v>
                </c:pt>
                <c:pt idx="16">
                  <c:v>2PCS Ice Silk Square Cushion Cover Pillowcases - 65x65cm</c:v>
                </c:pt>
                <c:pt idx="17">
                  <c:v>2pcs Solar Street Light Flood Light Outdoor</c:v>
                </c:pt>
                <c:pt idx="18">
                  <c:v>2PCS/LOT Solar LED Outdoor Intelligent Light Controlled Wall Lamp</c:v>
                </c:pt>
                <c:pt idx="19">
                  <c:v>32PCS Portable Cordless Drill Set With Cyclic Battery Drive -26 Variable Speed</c:v>
                </c:pt>
                <c:pt idx="20">
                  <c:v>380ML USB Rechargeable Portable Small Blenders And Juicers</c:v>
                </c:pt>
                <c:pt idx="21">
                  <c:v>3D Waterproof EVA Plastic Shower Curtain 1.8*2Mtrs</c:v>
                </c:pt>
                <c:pt idx="22">
                  <c:v>3PCS Rotary Scraper Thermomix For Kitchen</c:v>
                </c:pt>
                <c:pt idx="23">
                  <c:v>3PCS Single Head Knitting Crochet Sweater Needle Set</c:v>
                </c:pt>
                <c:pt idx="24">
                  <c:v>4 Piece Coloured Stainless Steel Kitchenware Set</c:v>
                </c:pt>
                <c:pt idx="25">
                  <c:v>40cm Gold DIY Acrylic Wall Sticker Clock</c:v>
                </c:pt>
                <c:pt idx="26">
                  <c:v>4M Float Switch Water Level Controller -Water Tank</c:v>
                </c:pt>
                <c:pt idx="27">
                  <c:v>4pcs Bathroom/Kitchen Towel Rack,Roll Paper Holder,Towel Bars,Hook</c:v>
                </c:pt>
                <c:pt idx="28">
                  <c:v>5 Pieces/set Of Stainless Steel Induction Cooker Pots</c:v>
                </c:pt>
                <c:pt idx="29">
                  <c:v>52 Pieces Cake Decorating Tool Set Gift Kit Baking Supplies</c:v>
                </c:pt>
                <c:pt idx="30">
                  <c:v>53 Pieces/Set Yarn Knitting Crochet Hooks With Bag - Pansies</c:v>
                </c:pt>
                <c:pt idx="31">
                  <c:v>53Pcs/Set Yarn Knitting Crochet Hooks With Bag - Fortune Cat</c:v>
                </c:pt>
                <c:pt idx="32">
                  <c:v>5m Waterproof Spherical LED String Lights Outdoor Ball Chain Lights Party Lighting Decoration Adjustable</c:v>
                </c:pt>
                <c:pt idx="33">
                  <c:v>5-PCS Stainless Steel Cooking Pot Set With Steamed Slices</c:v>
                </c:pt>
                <c:pt idx="34">
                  <c:v>6 In 1 Bottle Can Opener Multifunctional Easy Opener</c:v>
                </c:pt>
                <c:pt idx="35">
                  <c:v>6 Layers Steel Pipe Assembling Dustproof Storage Shoe Cabinet</c:v>
                </c:pt>
                <c:pt idx="36">
                  <c:v>60W Hot Melt Glue Sprayer - Efficient And Stable Glue Dispensing</c:v>
                </c:pt>
                <c:pt idx="37">
                  <c:v>7PCS Silicone Thumb Knife Finger Protector Vegetable Harvesting Knife</c:v>
                </c:pt>
                <c:pt idx="38">
                  <c:v>7-piece Set Of Storage Bags, Travel Storage Bags, Shoe Bags</c:v>
                </c:pt>
                <c:pt idx="39">
                  <c:v>8in1 Screwdriver With LED Light</c:v>
                </c:pt>
                <c:pt idx="40">
                  <c:v>9pcs Gas Mask, For Painting, Dust, Formaldehyde Grinding, Polishing</c:v>
                </c:pt>
                <c:pt idx="41">
                  <c:v>Agapeon Toothbrush Holder And Toothpaste Dispenser</c:v>
                </c:pt>
                <c:pt idx="42">
                  <c:v>Angle Measuring Tool Full Metal Multi Angle Measuring Tool</c:v>
                </c:pt>
                <c:pt idx="43">
                  <c:v>Anti-Skid Absorbent Insulation Coaster  For Home Office</c:v>
                </c:pt>
                <c:pt idx="44">
                  <c:v>Artificial Potted Flowers Room Decorative Flowers (2 Pieces)</c:v>
                </c:pt>
                <c:pt idx="45">
                  <c:v>Baby Early Education Shape And Color Cognitive Training Toys</c:v>
                </c:pt>
                <c:pt idx="46">
                  <c:v>Balloon Insert, Birthday Party Balloon Set, PU Leather</c:v>
                </c:pt>
                <c:pt idx="47">
                  <c:v>Bedroom Simple Floor Hanging Clothes Rack Single Pole Hat Rack - White</c:v>
                </c:pt>
                <c:pt idx="48">
                  <c:v>Black Simple Water Cup Wine Coaster Anti Slip Absorbent</c:v>
                </c:pt>
                <c:pt idx="49">
                  <c:v>Brush &amp; Paintbrush Cleaning Tool Pink</c:v>
                </c:pt>
                <c:pt idx="50">
                  <c:v>Car Phone Charging Stand</c:v>
                </c:pt>
                <c:pt idx="51">
                  <c:v>Cartoon Car Decoration Cute Individuality For Car Home Desk</c:v>
                </c:pt>
                <c:pt idx="52">
                  <c:v>Cartoon Embroidered Mini Towel Bear Cotton Wash Cloth Hand 4pcs</c:v>
                </c:pt>
                <c:pt idx="53">
                  <c:v>Christmas Elk Fence Yard Lawn Decorations Cute For Holidays</c:v>
                </c:pt>
                <c:pt idx="54">
                  <c:v>Christmas Fence Garden Decorations Outdoor For Holiday Home</c:v>
                </c:pt>
                <c:pt idx="55">
                  <c:v>Classic Black Cat Cotton Hemp Pillow Case For Home Car</c:v>
                </c:pt>
                <c:pt idx="56">
                  <c:v>Creative Owl Shape Keychain Black</c:v>
                </c:pt>
                <c:pt idx="57">
                  <c:v>Cushion Silicone Butt Cushion Summer Ice Cushion Honeycomb Gel Cushion</c:v>
                </c:pt>
                <c:pt idx="58">
                  <c:v>Cute Christmas Fence Garden Decorations For Holiday Home</c:v>
                </c:pt>
                <c:pt idx="59">
                  <c:v>Desk Foldable Fan Adjustable Fan Strong Wind 3 Gear Usb</c:v>
                </c:pt>
                <c:pt idx="60">
                  <c:v>DIY File Folder, Office Drawer File Holder, Pen Holder, Desktop Storage Rack</c:v>
                </c:pt>
                <c:pt idx="61">
                  <c:v>Electric LED UV Mosquito Killer Lamp, Outdoor/Indoor Fly Killer Trap Light -USB</c:v>
                </c:pt>
                <c:pt idx="62">
                  <c:v>Electronic Digital Display Vernier Caliper</c:v>
                </c:pt>
                <c:pt idx="63">
                  <c:v>Exfoliate And Exfoliate Face Towel - Black</c:v>
                </c:pt>
                <c:pt idx="64">
                  <c:v>Foldable Overbed Table/Desk</c:v>
                </c:pt>
                <c:pt idx="65">
                  <c:v>Genebre 115 In 1 Screwdriver Repairing Tool Set For IPhone Cellphone Hand Tool</c:v>
                </c:pt>
                <c:pt idx="66">
                  <c:v>Household Pineapple Peeler Peeler</c:v>
                </c:pt>
                <c:pt idx="67">
                  <c:v>Intelligent  LED Body Sensor Wireless Lighting Night Light USB</c:v>
                </c:pt>
                <c:pt idx="68">
                  <c:v>Konka Healty Electric Kettle, 24-hour Heat Preservation,1.5L,800W, White</c:v>
                </c:pt>
                <c:pt idx="69">
                  <c:v>Large Lazy Inflatable Sofa Chairs PVC Lounger Seat Bag</c:v>
                </c:pt>
                <c:pt idx="70">
                  <c:v>LASA 3 Tier Bamboo Shoe Bench Storage Shelf</c:v>
                </c:pt>
                <c:pt idx="71">
                  <c:v>LASA Aluminum Folding Truck Hand Cart - 68kg Max</c:v>
                </c:pt>
                <c:pt idx="72">
                  <c:v>LASA Digital Thermometer And Hydrometer</c:v>
                </c:pt>
                <c:pt idx="73">
                  <c:v>LASA FOLDING TABLE SERVING STAND</c:v>
                </c:pt>
                <c:pt idx="74">
                  <c:v>LASA Stainless Steel Double Wall Mount Soap Dispenser - 500ml</c:v>
                </c:pt>
                <c:pt idx="75">
                  <c:v>LED Eye Protection  Desk Lamp , Study, Reading, USB Fan - Double Pen Holder</c:v>
                </c:pt>
                <c:pt idx="76">
                  <c:v>LED Romantic Spaceship Starry Sky Projector,Children's Bedroom Night Light-Blue</c:v>
                </c:pt>
                <c:pt idx="77">
                  <c:v>LED Solar Street Light-fake Camera</c:v>
                </c:pt>
                <c:pt idx="78">
                  <c:v>LED Wall Digital Alarm Clock Study Home 12 / 24H Clock Calendar</c:v>
                </c:pt>
                <c:pt idx="79">
                  <c:v>Memory Foam Neck Pillow Cover, With Pillow Core - 50*30cm</c:v>
                </c:pt>
                <c:pt idx="80">
                  <c:v>Metal Decorative Hooks Key Hangers Entryway Wall Hooks Towel Hooks - Home</c:v>
                </c:pt>
                <c:pt idx="81">
                  <c:v>Metal Wall Clock Silver Dial Crystal Jewelry Round Home Decoration Wall Clock</c:v>
                </c:pt>
                <c:pt idx="82">
                  <c:v>Modern Sofa Throw Pillow Cover-45x45cm-Blue&amp;Red</c:v>
                </c:pt>
                <c:pt idx="83">
                  <c:v>Multifunction Laser Level With Adjustment Tripod</c:v>
                </c:pt>
                <c:pt idx="84">
                  <c:v>Multifunctional Hanging Storage Box Storage Bag (4 Layers)</c:v>
                </c:pt>
                <c:pt idx="85">
                  <c:v>MultiFunctional Storage Rack Multi-layer Bookshelf</c:v>
                </c:pt>
                <c:pt idx="86">
                  <c:v>Multi-purpose Rice Drainage Basket And Fruit And Vegetable Drainage Sieve</c:v>
                </c:pt>
                <c:pt idx="87">
                  <c:v>Mythco 120COB Solar Wall Ligt With Motion Sensor And Remote Control 3 Modes</c:v>
                </c:pt>
                <c:pt idx="88">
                  <c:v>Office Chair Lumbar Back Support Spine Posture Correction Pillow Car Cushion</c:v>
                </c:pt>
                <c:pt idx="89">
                  <c:v>Outdoor Portable Water Bottle With Medicine Box - 600ML - Black</c:v>
                </c:pt>
                <c:pt idx="90">
                  <c:v>Peacock  Throw Pillow Cushion Case For Home Car</c:v>
                </c:pt>
                <c:pt idx="91">
                  <c:v>Pen Grips For Kids Pen Grip Posture Correction Tool For Kids</c:v>
                </c:pt>
                <c:pt idx="92">
                  <c:v>Pilates Cloth Bag Waterproof Durable High Capacity Purple</c:v>
                </c:pt>
                <c:pt idx="93">
                  <c:v>Portable Home Small Air Humidifier 3-Speed Fan - Green</c:v>
                </c:pt>
                <c:pt idx="94">
                  <c:v>Portable Mini Cordless Car Vacuum Cleaner - Blue</c:v>
                </c:pt>
                <c:pt idx="95">
                  <c:v>Portable Soap Dispenser Kitchen Detergent Press Box Kitchen Tools</c:v>
                </c:pt>
                <c:pt idx="96">
                  <c:v>Portable Wardrobe Nonwoven With 3 Hanging Rods And 6 Storage Shelves</c:v>
                </c:pt>
                <c:pt idx="97">
                  <c:v>Portable Wine Table With Folding Round Table</c:v>
                </c:pt>
                <c:pt idx="98">
                  <c:v>Punch-free Great Load Bearing Bathroom Storage Rack Wall Shelf-White</c:v>
                </c:pt>
                <c:pt idx="99">
                  <c:v>Sewing Machine Needle Threader Stitch Insertion Tool Automatic Quick Sewing</c:v>
                </c:pt>
                <c:pt idx="100">
                  <c:v>Shower Cap Wide Elastic Band Cover Reusable Bashroom Cap</c:v>
                </c:pt>
                <c:pt idx="101">
                  <c:v>Shower Nozzle Cleaning Unclogging Needle Mini Crevice Small Hole Cleaning Brush</c:v>
                </c:pt>
                <c:pt idx="102">
                  <c:v>Simple Metal Dog Art Sculpture Decoration For Home Office</c:v>
                </c:pt>
                <c:pt idx="103">
                  <c:v>Thickening Multipurpose Non Stick Easy To Clean Heat Resistant Spoon Pad</c:v>
                </c:pt>
                <c:pt idx="104">
                  <c:v>VIC Wireless Vacuum Cleaner Dual Use For Home And Car 120W High Power Powerful</c:v>
                </c:pt>
                <c:pt idx="105">
                  <c:v>Wall Clock With Hidden Safe Box</c:v>
                </c:pt>
                <c:pt idx="106">
                  <c:v>Wall Mount Automatic Toothpaste Dispenser Toothbrush Holder Toothpaste Squeezer</c:v>
                </c:pt>
                <c:pt idx="107">
                  <c:v>Wall-mounted Sticker Punch-free Plug Fixer</c:v>
                </c:pt>
                <c:pt idx="108">
                  <c:v>Wall-Mounted Toothbrush Toothpaste Holder With Multiple Slots</c:v>
                </c:pt>
                <c:pt idx="109">
                  <c:v>Watercolour Gold Foil Textured Print Pillow Cover</c:v>
                </c:pt>
                <c:pt idx="110">
                  <c:v>Weighing Scale Digital Bathroom Body Fat Scale USB-Black</c:v>
                </c:pt>
                <c:pt idx="111">
                  <c:v>Wrought Iron Bathroom Shelf Wall Mounted Free Punch Toilet Rack</c:v>
                </c:pt>
                <c:pt idx="112">
                  <c:v>(blank)</c:v>
                </c:pt>
              </c:strCache>
            </c:strRef>
          </c:cat>
          <c:val>
            <c:numRef>
              <c:f>PPA!$B$270:$B$383</c:f>
              <c:numCache>
                <c:formatCode>0%</c:formatCode>
                <c:ptCount val="113"/>
                <c:pt idx="3">
                  <c:v>0.38</c:v>
                </c:pt>
                <c:pt idx="4">
                  <c:v>0.34</c:v>
                </c:pt>
                <c:pt idx="5">
                  <c:v>0.38</c:v>
                </c:pt>
                <c:pt idx="6">
                  <c:v>0.32</c:v>
                </c:pt>
                <c:pt idx="7">
                  <c:v>0.34</c:v>
                </c:pt>
                <c:pt idx="8">
                  <c:v>0.49</c:v>
                </c:pt>
                <c:pt idx="9">
                  <c:v>0.27</c:v>
                </c:pt>
                <c:pt idx="10">
                  <c:v>0.45</c:v>
                </c:pt>
                <c:pt idx="11">
                  <c:v>0.24</c:v>
                </c:pt>
                <c:pt idx="12">
                  <c:v>0.24</c:v>
                </c:pt>
                <c:pt idx="13">
                  <c:v>0.02</c:v>
                </c:pt>
                <c:pt idx="14">
                  <c:v>0.09</c:v>
                </c:pt>
                <c:pt idx="15">
                  <c:v>0.01</c:v>
                </c:pt>
                <c:pt idx="16">
                  <c:v>0.5</c:v>
                </c:pt>
                <c:pt idx="17">
                  <c:v>0.38</c:v>
                </c:pt>
                <c:pt idx="18">
                  <c:v>0.47</c:v>
                </c:pt>
                <c:pt idx="19">
                  <c:v>0.39</c:v>
                </c:pt>
                <c:pt idx="20">
                  <c:v>0.5</c:v>
                </c:pt>
                <c:pt idx="21">
                  <c:v>0.49</c:v>
                </c:pt>
                <c:pt idx="22">
                  <c:v>0.43</c:v>
                </c:pt>
                <c:pt idx="23">
                  <c:v>0.53</c:v>
                </c:pt>
                <c:pt idx="24">
                  <c:v>0.49</c:v>
                </c:pt>
                <c:pt idx="25">
                  <c:v>0.47</c:v>
                </c:pt>
                <c:pt idx="26">
                  <c:v>0.49</c:v>
                </c:pt>
                <c:pt idx="27">
                  <c:v>0.42</c:v>
                </c:pt>
                <c:pt idx="28">
                  <c:v>0.13</c:v>
                </c:pt>
                <c:pt idx="29">
                  <c:v>0.3</c:v>
                </c:pt>
                <c:pt idx="30">
                  <c:v>0.27</c:v>
                </c:pt>
                <c:pt idx="31">
                  <c:v>0.27</c:v>
                </c:pt>
                <c:pt idx="32">
                  <c:v>0.36</c:v>
                </c:pt>
                <c:pt idx="33">
                  <c:v>0.55000000000000004</c:v>
                </c:pt>
                <c:pt idx="34">
                  <c:v>0.64</c:v>
                </c:pt>
                <c:pt idx="35">
                  <c:v>0.47</c:v>
                </c:pt>
                <c:pt idx="36">
                  <c:v>0.33</c:v>
                </c:pt>
                <c:pt idx="37">
                  <c:v>0.49</c:v>
                </c:pt>
                <c:pt idx="38">
                  <c:v>0.47</c:v>
                </c:pt>
                <c:pt idx="39">
                  <c:v>0.42</c:v>
                </c:pt>
                <c:pt idx="40">
                  <c:v>0.41</c:v>
                </c:pt>
                <c:pt idx="41">
                  <c:v>0.45</c:v>
                </c:pt>
                <c:pt idx="42">
                  <c:v>0.49</c:v>
                </c:pt>
                <c:pt idx="43">
                  <c:v>0.51</c:v>
                </c:pt>
                <c:pt idx="44">
                  <c:v>0.45</c:v>
                </c:pt>
                <c:pt idx="45">
                  <c:v>0.49</c:v>
                </c:pt>
                <c:pt idx="46">
                  <c:v>0.42</c:v>
                </c:pt>
                <c:pt idx="47">
                  <c:v>0.49</c:v>
                </c:pt>
                <c:pt idx="48">
                  <c:v>0.47</c:v>
                </c:pt>
                <c:pt idx="49">
                  <c:v>0.5</c:v>
                </c:pt>
                <c:pt idx="50">
                  <c:v>0.49</c:v>
                </c:pt>
                <c:pt idx="51">
                  <c:v>0.49</c:v>
                </c:pt>
                <c:pt idx="52">
                  <c:v>0.34</c:v>
                </c:pt>
                <c:pt idx="53">
                  <c:v>0.5</c:v>
                </c:pt>
                <c:pt idx="54">
                  <c:v>0.48</c:v>
                </c:pt>
                <c:pt idx="55">
                  <c:v>0.53</c:v>
                </c:pt>
                <c:pt idx="56">
                  <c:v>0.61</c:v>
                </c:pt>
                <c:pt idx="57">
                  <c:v>0.04</c:v>
                </c:pt>
                <c:pt idx="58">
                  <c:v>0.41</c:v>
                </c:pt>
                <c:pt idx="59">
                  <c:v>0.37</c:v>
                </c:pt>
                <c:pt idx="60">
                  <c:v>0.4</c:v>
                </c:pt>
                <c:pt idx="61">
                  <c:v>0.47</c:v>
                </c:pt>
                <c:pt idx="62">
                  <c:v>0.35</c:v>
                </c:pt>
                <c:pt idx="63">
                  <c:v>0.52</c:v>
                </c:pt>
                <c:pt idx="64">
                  <c:v>0.23</c:v>
                </c:pt>
                <c:pt idx="65">
                  <c:v>0.2</c:v>
                </c:pt>
                <c:pt idx="66">
                  <c:v>0.49</c:v>
                </c:pt>
                <c:pt idx="67">
                  <c:v>0.52</c:v>
                </c:pt>
                <c:pt idx="68">
                  <c:v>0.21</c:v>
                </c:pt>
                <c:pt idx="69">
                  <c:v>0.28999999999999998</c:v>
                </c:pt>
                <c:pt idx="70">
                  <c:v>0.54</c:v>
                </c:pt>
                <c:pt idx="71">
                  <c:v>0.49</c:v>
                </c:pt>
                <c:pt idx="72">
                  <c:v>0.42</c:v>
                </c:pt>
                <c:pt idx="73">
                  <c:v>0.55000000000000004</c:v>
                </c:pt>
                <c:pt idx="74">
                  <c:v>0.38</c:v>
                </c:pt>
                <c:pt idx="75">
                  <c:v>0.48</c:v>
                </c:pt>
                <c:pt idx="76">
                  <c:v>0.35</c:v>
                </c:pt>
                <c:pt idx="77">
                  <c:v>0.34</c:v>
                </c:pt>
                <c:pt idx="78">
                  <c:v>0.19</c:v>
                </c:pt>
                <c:pt idx="79">
                  <c:v>0.46</c:v>
                </c:pt>
                <c:pt idx="80">
                  <c:v>0.47</c:v>
                </c:pt>
                <c:pt idx="81">
                  <c:v>0.04</c:v>
                </c:pt>
                <c:pt idx="82">
                  <c:v>0.5</c:v>
                </c:pt>
                <c:pt idx="83">
                  <c:v>0.33</c:v>
                </c:pt>
                <c:pt idx="84">
                  <c:v>0.43</c:v>
                </c:pt>
                <c:pt idx="85">
                  <c:v>0.46</c:v>
                </c:pt>
                <c:pt idx="86">
                  <c:v>0.03</c:v>
                </c:pt>
                <c:pt idx="87">
                  <c:v>0.54</c:v>
                </c:pt>
                <c:pt idx="88">
                  <c:v>0.14000000000000001</c:v>
                </c:pt>
                <c:pt idx="89">
                  <c:v>0.11</c:v>
                </c:pt>
                <c:pt idx="90">
                  <c:v>0.46</c:v>
                </c:pt>
                <c:pt idx="91">
                  <c:v>0.02</c:v>
                </c:pt>
                <c:pt idx="92">
                  <c:v>0.22</c:v>
                </c:pt>
                <c:pt idx="93">
                  <c:v>0.26</c:v>
                </c:pt>
                <c:pt idx="94">
                  <c:v>0.25</c:v>
                </c:pt>
                <c:pt idx="95">
                  <c:v>0.02</c:v>
                </c:pt>
                <c:pt idx="96">
                  <c:v>0.18</c:v>
                </c:pt>
                <c:pt idx="97">
                  <c:v>0.48</c:v>
                </c:pt>
                <c:pt idx="98">
                  <c:v>0.41</c:v>
                </c:pt>
                <c:pt idx="99">
                  <c:v>0.48</c:v>
                </c:pt>
                <c:pt idx="100">
                  <c:v>0.02</c:v>
                </c:pt>
                <c:pt idx="101">
                  <c:v>0.02</c:v>
                </c:pt>
                <c:pt idx="102">
                  <c:v>0.45</c:v>
                </c:pt>
                <c:pt idx="103">
                  <c:v>0.02</c:v>
                </c:pt>
                <c:pt idx="104">
                  <c:v>0.22</c:v>
                </c:pt>
                <c:pt idx="105">
                  <c:v>0.5</c:v>
                </c:pt>
                <c:pt idx="106">
                  <c:v>0.08</c:v>
                </c:pt>
                <c:pt idx="107">
                  <c:v>0.5</c:v>
                </c:pt>
                <c:pt idx="108">
                  <c:v>0.14000000000000001</c:v>
                </c:pt>
                <c:pt idx="109">
                  <c:v>0.43</c:v>
                </c:pt>
                <c:pt idx="110">
                  <c:v>0.37</c:v>
                </c:pt>
                <c:pt idx="111">
                  <c:v>0.43</c:v>
                </c:pt>
              </c:numCache>
            </c:numRef>
          </c:val>
          <c:extLst>
            <c:ext xmlns:c16="http://schemas.microsoft.com/office/drawing/2014/chart" uri="{C3380CC4-5D6E-409C-BE32-E72D297353CC}">
              <c16:uniqueId val="{00000000-B873-4B0E-84E2-FD1734FBCBA2}"/>
            </c:ext>
          </c:extLst>
        </c:ser>
        <c:dLbls>
          <c:showLegendKey val="0"/>
          <c:showVal val="0"/>
          <c:showCatName val="0"/>
          <c:showSerName val="0"/>
          <c:showPercent val="0"/>
          <c:showBubbleSize val="0"/>
        </c:dLbls>
        <c:gapWidth val="219"/>
        <c:axId val="1011814223"/>
        <c:axId val="1011816303"/>
      </c:barChart>
      <c:catAx>
        <c:axId val="101181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16303"/>
        <c:crosses val="autoZero"/>
        <c:auto val="1"/>
        <c:lblAlgn val="ctr"/>
        <c:lblOffset val="100"/>
        <c:noMultiLvlLbl val="0"/>
      </c:catAx>
      <c:valAx>
        <c:axId val="1011816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1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ANALYSIS.xlsx]TREND !PivotTable13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 </a:t>
            </a:r>
            <a:r>
              <a:rPr lang="en-US" baseline="0"/>
              <a:t>RATED PRODUCTS VERSUS REVIEW</a:t>
            </a:r>
          </a:p>
          <a:p>
            <a:pPr>
              <a:defRPr/>
            </a:pPr>
            <a:r>
              <a:rPr lang="en-US" baseline="0"/>
              <a:t> </a:t>
            </a:r>
            <a:endParaRPr lang="en-US"/>
          </a:p>
        </c:rich>
      </c:tx>
      <c:layout>
        <c:manualLayout>
          <c:xMode val="edge"/>
          <c:yMode val="edge"/>
          <c:x val="0.25430842743600657"/>
          <c:y val="0.1880318768504856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'!$E$116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 '!$D$117:$D$120</c:f>
              <c:strCache>
                <c:ptCount val="3"/>
                <c:pt idx="0">
                  <c:v>High</c:v>
                </c:pt>
                <c:pt idx="1">
                  <c:v>Low</c:v>
                </c:pt>
                <c:pt idx="2">
                  <c:v>Medium</c:v>
                </c:pt>
              </c:strCache>
            </c:strRef>
          </c:cat>
          <c:val>
            <c:numRef>
              <c:f>'TREND '!$E$117:$E$120</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0063-489A-8D5F-1F11B437C895}"/>
            </c:ext>
          </c:extLst>
        </c:ser>
        <c:dLbls>
          <c:showLegendKey val="0"/>
          <c:showVal val="0"/>
          <c:showCatName val="0"/>
          <c:showSerName val="0"/>
          <c:showPercent val="0"/>
          <c:showBubbleSize val="0"/>
        </c:dLbls>
        <c:marker val="1"/>
        <c:smooth val="0"/>
        <c:axId val="999553279"/>
        <c:axId val="999552447"/>
      </c:lineChart>
      <c:catAx>
        <c:axId val="99955327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552447"/>
        <c:crosses val="autoZero"/>
        <c:auto val="1"/>
        <c:lblAlgn val="ctr"/>
        <c:lblOffset val="100"/>
        <c:noMultiLvlLbl val="0"/>
      </c:catAx>
      <c:valAx>
        <c:axId val="9995524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55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ANALYSIS.xlsx]DESCRIPTIVE!PivotTable5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631D4D"/>
                </a:solidFill>
              </a:rPr>
              <a:t>AVERAGE</a:t>
            </a:r>
            <a:r>
              <a:rPr lang="en-US" baseline="0">
                <a:solidFill>
                  <a:srgbClr val="631D4D"/>
                </a:solidFill>
              </a:rPr>
              <a:t> OF RATING AND DISCOUNT BY DISCOUNT CATEGORY</a:t>
            </a:r>
            <a:endParaRPr lang="en-US">
              <a:solidFill>
                <a:srgbClr val="631D4D"/>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78854771974464"/>
          <c:y val="0.42800328823124273"/>
          <c:w val="0.30862451145571862"/>
          <c:h val="0.4213113558821881"/>
        </c:manualLayout>
      </c:layout>
      <c:doughnutChart>
        <c:varyColors val="1"/>
        <c:ser>
          <c:idx val="0"/>
          <c:order val="0"/>
          <c:tx>
            <c:strRef>
              <c:f>DESCRIPTIVE!$B$3</c:f>
              <c:strCache>
                <c:ptCount val="1"/>
                <c:pt idx="0">
                  <c:v>Average of Rating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7F-436C-99E4-4F038FAF3F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7F-436C-99E4-4F038FAF3F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7F-436C-99E4-4F038FAF3FF1}"/>
              </c:ext>
            </c:extLst>
          </c:dPt>
          <c:cat>
            <c:strRef>
              <c:f>DESCRIPTIVE!$A$4:$A$7</c:f>
              <c:strCache>
                <c:ptCount val="3"/>
                <c:pt idx="0">
                  <c:v>High</c:v>
                </c:pt>
                <c:pt idx="1">
                  <c:v>Low</c:v>
                </c:pt>
                <c:pt idx="2">
                  <c:v>Medium</c:v>
                </c:pt>
              </c:strCache>
            </c:strRef>
          </c:cat>
          <c:val>
            <c:numRef>
              <c:f>DESCRIPTIVE!$B$4:$B$7</c:f>
              <c:numCache>
                <c:formatCode>0.0</c:formatCode>
                <c:ptCount val="3"/>
                <c:pt idx="0">
                  <c:v>3.6966101694915277</c:v>
                </c:pt>
                <c:pt idx="1">
                  <c:v>3.7833333333333323</c:v>
                </c:pt>
                <c:pt idx="2">
                  <c:v>4.1437500000000007</c:v>
                </c:pt>
              </c:numCache>
            </c:numRef>
          </c:val>
          <c:extLst>
            <c:ext xmlns:c16="http://schemas.microsoft.com/office/drawing/2014/chart" uri="{C3380CC4-5D6E-409C-BE32-E72D297353CC}">
              <c16:uniqueId val="{00000006-607F-436C-99E4-4F038FAF3FF1}"/>
            </c:ext>
          </c:extLst>
        </c:ser>
        <c:ser>
          <c:idx val="1"/>
          <c:order val="1"/>
          <c:tx>
            <c:strRef>
              <c:f>DESCRIPTIVE!$C$3</c:f>
              <c:strCache>
                <c:ptCount val="1"/>
                <c:pt idx="0">
                  <c:v>Average of Discount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07F-436C-99E4-4F038FAF3F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07F-436C-99E4-4F038FAF3F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07F-436C-99E4-4F038FAF3FF1}"/>
              </c:ext>
            </c:extLst>
          </c:dPt>
          <c:cat>
            <c:strRef>
              <c:f>DESCRIPTIVE!$A$4:$A$7</c:f>
              <c:strCache>
                <c:ptCount val="3"/>
                <c:pt idx="0">
                  <c:v>High</c:v>
                </c:pt>
                <c:pt idx="1">
                  <c:v>Low</c:v>
                </c:pt>
                <c:pt idx="2">
                  <c:v>Medium</c:v>
                </c:pt>
              </c:strCache>
            </c:strRef>
          </c:cat>
          <c:val>
            <c:numRef>
              <c:f>DESCRIPTIVE!$C$4:$C$7</c:f>
              <c:numCache>
                <c:formatCode>0%</c:formatCode>
                <c:ptCount val="3"/>
                <c:pt idx="0">
                  <c:v>0.48203389830508458</c:v>
                </c:pt>
                <c:pt idx="1">
                  <c:v>7.2222222222222243E-2</c:v>
                </c:pt>
                <c:pt idx="2">
                  <c:v>0.30999999999999994</c:v>
                </c:pt>
              </c:numCache>
            </c:numRef>
          </c:val>
          <c:extLst>
            <c:ext xmlns:c16="http://schemas.microsoft.com/office/drawing/2014/chart" uri="{C3380CC4-5D6E-409C-BE32-E72D297353CC}">
              <c16:uniqueId val="{0000000D-607F-436C-99E4-4F038FAF3FF1}"/>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ANALYSIS.xlsx]DESCRIPTIVE!PivotTable5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631D4D"/>
                </a:solidFill>
              </a:rPr>
              <a:t>AVERAGE</a:t>
            </a:r>
            <a:r>
              <a:rPr lang="en-US" baseline="0">
                <a:solidFill>
                  <a:srgbClr val="631D4D"/>
                </a:solidFill>
              </a:rPr>
              <a:t> OF RATING AND DISCOUNT BY DISCOUNT CATEGORY</a:t>
            </a:r>
            <a:endParaRPr lang="en-US">
              <a:solidFill>
                <a:srgbClr val="631D4D"/>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DESCRIPTIVE!$B$3</c:f>
              <c:strCache>
                <c:ptCount val="1"/>
                <c:pt idx="0">
                  <c:v>Average of Rating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5E-4FB8-A3F0-E111F6195F5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5E-4FB8-A3F0-E111F6195F5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5E-4FB8-A3F0-E111F6195F54}"/>
              </c:ext>
            </c:extLst>
          </c:dPt>
          <c:cat>
            <c:strRef>
              <c:f>DESCRIPTIVE!$A$4:$A$7</c:f>
              <c:strCache>
                <c:ptCount val="3"/>
                <c:pt idx="0">
                  <c:v>High</c:v>
                </c:pt>
                <c:pt idx="1">
                  <c:v>Low</c:v>
                </c:pt>
                <c:pt idx="2">
                  <c:v>Medium</c:v>
                </c:pt>
              </c:strCache>
            </c:strRef>
          </c:cat>
          <c:val>
            <c:numRef>
              <c:f>DESCRIPTIVE!$B$4:$B$7</c:f>
              <c:numCache>
                <c:formatCode>0.0</c:formatCode>
                <c:ptCount val="3"/>
                <c:pt idx="0">
                  <c:v>3.6966101694915277</c:v>
                </c:pt>
                <c:pt idx="1">
                  <c:v>3.7833333333333323</c:v>
                </c:pt>
                <c:pt idx="2">
                  <c:v>4.1437500000000007</c:v>
                </c:pt>
              </c:numCache>
            </c:numRef>
          </c:val>
          <c:extLst>
            <c:ext xmlns:c16="http://schemas.microsoft.com/office/drawing/2014/chart" uri="{C3380CC4-5D6E-409C-BE32-E72D297353CC}">
              <c16:uniqueId val="{00000000-BB04-4370-B175-88A84808A4B0}"/>
            </c:ext>
          </c:extLst>
        </c:ser>
        <c:ser>
          <c:idx val="1"/>
          <c:order val="1"/>
          <c:tx>
            <c:strRef>
              <c:f>DESCRIPTIVE!$C$3</c:f>
              <c:strCache>
                <c:ptCount val="1"/>
                <c:pt idx="0">
                  <c:v>Average of Discount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5E-4FB8-A3F0-E111F6195F5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55E-4FB8-A3F0-E111F6195F5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55E-4FB8-A3F0-E111F6195F54}"/>
              </c:ext>
            </c:extLst>
          </c:dPt>
          <c:cat>
            <c:strRef>
              <c:f>DESCRIPTIVE!$A$4:$A$7</c:f>
              <c:strCache>
                <c:ptCount val="3"/>
                <c:pt idx="0">
                  <c:v>High</c:v>
                </c:pt>
                <c:pt idx="1">
                  <c:v>Low</c:v>
                </c:pt>
                <c:pt idx="2">
                  <c:v>Medium</c:v>
                </c:pt>
              </c:strCache>
            </c:strRef>
          </c:cat>
          <c:val>
            <c:numRef>
              <c:f>DESCRIPTIVE!$C$4:$C$7</c:f>
              <c:numCache>
                <c:formatCode>0%</c:formatCode>
                <c:ptCount val="3"/>
                <c:pt idx="0">
                  <c:v>0.48203389830508458</c:v>
                </c:pt>
                <c:pt idx="1">
                  <c:v>7.2222222222222243E-2</c:v>
                </c:pt>
                <c:pt idx="2">
                  <c:v>0.30999999999999994</c:v>
                </c:pt>
              </c:numCache>
            </c:numRef>
          </c:val>
          <c:extLst>
            <c:ext xmlns:c16="http://schemas.microsoft.com/office/drawing/2014/chart" uri="{C3380CC4-5D6E-409C-BE32-E72D297353CC}">
              <c16:uniqueId val="{00000003-BB04-4370-B175-88A84808A4B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ANALYSIS.xlsx]D1 PRODUCTS!PivotTable6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DISTRIBUTION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 PRODUCTS'!$B$3:$B$5</c:f>
              <c:strCache>
                <c:ptCount val="1"/>
                <c:pt idx="0">
                  <c:v>Average - Count of Product</c:v>
                </c:pt>
              </c:strCache>
            </c:strRef>
          </c:tx>
          <c:spPr>
            <a:solidFill>
              <a:schemeClr val="accent1"/>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PRODUCTS'!$B$6:$B$115</c:f>
              <c:numCache>
                <c:formatCode>General</c:formatCode>
                <c:ptCount val="109"/>
                <c:pt idx="3">
                  <c:v>1</c:v>
                </c:pt>
                <c:pt idx="6">
                  <c:v>1</c:v>
                </c:pt>
                <c:pt idx="7">
                  <c:v>1</c:v>
                </c:pt>
                <c:pt idx="9">
                  <c:v>1</c:v>
                </c:pt>
                <c:pt idx="10">
                  <c:v>1</c:v>
                </c:pt>
                <c:pt idx="11">
                  <c:v>1</c:v>
                </c:pt>
                <c:pt idx="12">
                  <c:v>1</c:v>
                </c:pt>
                <c:pt idx="13">
                  <c:v>1</c:v>
                </c:pt>
                <c:pt idx="14">
                  <c:v>1</c:v>
                </c:pt>
                <c:pt idx="15">
                  <c:v>1</c:v>
                </c:pt>
                <c:pt idx="16">
                  <c:v>1</c:v>
                </c:pt>
                <c:pt idx="19">
                  <c:v>1</c:v>
                </c:pt>
                <c:pt idx="20">
                  <c:v>1</c:v>
                </c:pt>
                <c:pt idx="21">
                  <c:v>1</c:v>
                </c:pt>
                <c:pt idx="23">
                  <c:v>1</c:v>
                </c:pt>
                <c:pt idx="24">
                  <c:v>1</c:v>
                </c:pt>
                <c:pt idx="26">
                  <c:v>1</c:v>
                </c:pt>
                <c:pt idx="29">
                  <c:v>1</c:v>
                </c:pt>
                <c:pt idx="31">
                  <c:v>1</c:v>
                </c:pt>
                <c:pt idx="32">
                  <c:v>1</c:v>
                </c:pt>
                <c:pt idx="33">
                  <c:v>1</c:v>
                </c:pt>
                <c:pt idx="34">
                  <c:v>1</c:v>
                </c:pt>
                <c:pt idx="36">
                  <c:v>1</c:v>
                </c:pt>
                <c:pt idx="37">
                  <c:v>1</c:v>
                </c:pt>
                <c:pt idx="39">
                  <c:v>1</c:v>
                </c:pt>
                <c:pt idx="42">
                  <c:v>1</c:v>
                </c:pt>
                <c:pt idx="43">
                  <c:v>1</c:v>
                </c:pt>
                <c:pt idx="45">
                  <c:v>1</c:v>
                </c:pt>
                <c:pt idx="46">
                  <c:v>1</c:v>
                </c:pt>
                <c:pt idx="47">
                  <c:v>1</c:v>
                </c:pt>
                <c:pt idx="48">
                  <c:v>1</c:v>
                </c:pt>
                <c:pt idx="49">
                  <c:v>1</c:v>
                </c:pt>
                <c:pt idx="50">
                  <c:v>1</c:v>
                </c:pt>
                <c:pt idx="51">
                  <c:v>1</c:v>
                </c:pt>
                <c:pt idx="53">
                  <c:v>1</c:v>
                </c:pt>
                <c:pt idx="54">
                  <c:v>1</c:v>
                </c:pt>
                <c:pt idx="55">
                  <c:v>1</c:v>
                </c:pt>
                <c:pt idx="56">
                  <c:v>1</c:v>
                </c:pt>
                <c:pt idx="60">
                  <c:v>1</c:v>
                </c:pt>
                <c:pt idx="61">
                  <c:v>1</c:v>
                </c:pt>
                <c:pt idx="62">
                  <c:v>1</c:v>
                </c:pt>
                <c:pt idx="63">
                  <c:v>1</c:v>
                </c:pt>
                <c:pt idx="66">
                  <c:v>1</c:v>
                </c:pt>
                <c:pt idx="67">
                  <c:v>1</c:v>
                </c:pt>
                <c:pt idx="71">
                  <c:v>1</c:v>
                </c:pt>
                <c:pt idx="72">
                  <c:v>1</c:v>
                </c:pt>
                <c:pt idx="73">
                  <c:v>1</c:v>
                </c:pt>
                <c:pt idx="74">
                  <c:v>1</c:v>
                </c:pt>
                <c:pt idx="76">
                  <c:v>1</c:v>
                </c:pt>
                <c:pt idx="77">
                  <c:v>1</c:v>
                </c:pt>
                <c:pt idx="78">
                  <c:v>1</c:v>
                </c:pt>
                <c:pt idx="79">
                  <c:v>1</c:v>
                </c:pt>
                <c:pt idx="80">
                  <c:v>1</c:v>
                </c:pt>
                <c:pt idx="81">
                  <c:v>1</c:v>
                </c:pt>
                <c:pt idx="82">
                  <c:v>1</c:v>
                </c:pt>
                <c:pt idx="83">
                  <c:v>1</c:v>
                </c:pt>
                <c:pt idx="84">
                  <c:v>1</c:v>
                </c:pt>
                <c:pt idx="85">
                  <c:v>1</c:v>
                </c:pt>
                <c:pt idx="86">
                  <c:v>1</c:v>
                </c:pt>
                <c:pt idx="88">
                  <c:v>1</c:v>
                </c:pt>
                <c:pt idx="89">
                  <c:v>1</c:v>
                </c:pt>
                <c:pt idx="92">
                  <c:v>1</c:v>
                </c:pt>
                <c:pt idx="93">
                  <c:v>1</c:v>
                </c:pt>
                <c:pt idx="94">
                  <c:v>1</c:v>
                </c:pt>
                <c:pt idx="95">
                  <c:v>1</c:v>
                </c:pt>
                <c:pt idx="96">
                  <c:v>1</c:v>
                </c:pt>
                <c:pt idx="97">
                  <c:v>1</c:v>
                </c:pt>
                <c:pt idx="98">
                  <c:v>1</c:v>
                </c:pt>
                <c:pt idx="99">
                  <c:v>1</c:v>
                </c:pt>
                <c:pt idx="100">
                  <c:v>1</c:v>
                </c:pt>
                <c:pt idx="102">
                  <c:v>1</c:v>
                </c:pt>
                <c:pt idx="103">
                  <c:v>1</c:v>
                </c:pt>
                <c:pt idx="105">
                  <c:v>1</c:v>
                </c:pt>
                <c:pt idx="108">
                  <c:v>1</c:v>
                </c:pt>
              </c:numCache>
            </c:numRef>
          </c:val>
          <c:extLst>
            <c:ext xmlns:c16="http://schemas.microsoft.com/office/drawing/2014/chart" uri="{C3380CC4-5D6E-409C-BE32-E72D297353CC}">
              <c16:uniqueId val="{00000000-B496-4EEB-BF09-BDB0437718CE}"/>
            </c:ext>
          </c:extLst>
        </c:ser>
        <c:ser>
          <c:idx val="1"/>
          <c:order val="1"/>
          <c:tx>
            <c:strRef>
              <c:f>'D1 PRODUCTS'!$C$3:$C$5</c:f>
              <c:strCache>
                <c:ptCount val="1"/>
                <c:pt idx="0">
                  <c:v>Average - Sum of Rating</c:v>
                </c:pt>
              </c:strCache>
            </c:strRef>
          </c:tx>
          <c:spPr>
            <a:solidFill>
              <a:schemeClr val="accent2"/>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PRODUCTS'!$C$6:$C$115</c:f>
              <c:numCache>
                <c:formatCode>General</c:formatCode>
                <c:ptCount val="109"/>
                <c:pt idx="3">
                  <c:v>3.8</c:v>
                </c:pt>
                <c:pt idx="6">
                  <c:v>3.8</c:v>
                </c:pt>
                <c:pt idx="7">
                  <c:v>3.8</c:v>
                </c:pt>
                <c:pt idx="9">
                  <c:v>3.8</c:v>
                </c:pt>
                <c:pt idx="10">
                  <c:v>3.8</c:v>
                </c:pt>
                <c:pt idx="11">
                  <c:v>4</c:v>
                </c:pt>
                <c:pt idx="12">
                  <c:v>3.8</c:v>
                </c:pt>
                <c:pt idx="13">
                  <c:v>3.8</c:v>
                </c:pt>
                <c:pt idx="14">
                  <c:v>3.8</c:v>
                </c:pt>
                <c:pt idx="15">
                  <c:v>3.8</c:v>
                </c:pt>
                <c:pt idx="16">
                  <c:v>3</c:v>
                </c:pt>
                <c:pt idx="19">
                  <c:v>3.8</c:v>
                </c:pt>
                <c:pt idx="20">
                  <c:v>3.3</c:v>
                </c:pt>
                <c:pt idx="21">
                  <c:v>3.8</c:v>
                </c:pt>
                <c:pt idx="23">
                  <c:v>3.8</c:v>
                </c:pt>
                <c:pt idx="24">
                  <c:v>3.3</c:v>
                </c:pt>
                <c:pt idx="26">
                  <c:v>4.0999999999999996</c:v>
                </c:pt>
                <c:pt idx="29">
                  <c:v>3.8</c:v>
                </c:pt>
                <c:pt idx="31">
                  <c:v>3.8</c:v>
                </c:pt>
                <c:pt idx="32">
                  <c:v>3.8</c:v>
                </c:pt>
                <c:pt idx="33">
                  <c:v>3.8</c:v>
                </c:pt>
                <c:pt idx="34">
                  <c:v>3.8</c:v>
                </c:pt>
                <c:pt idx="36">
                  <c:v>3.8</c:v>
                </c:pt>
                <c:pt idx="37">
                  <c:v>3.8</c:v>
                </c:pt>
                <c:pt idx="39">
                  <c:v>3.8</c:v>
                </c:pt>
                <c:pt idx="42">
                  <c:v>3.8</c:v>
                </c:pt>
                <c:pt idx="43">
                  <c:v>3.8</c:v>
                </c:pt>
                <c:pt idx="45">
                  <c:v>3.8</c:v>
                </c:pt>
                <c:pt idx="46">
                  <c:v>3.8</c:v>
                </c:pt>
                <c:pt idx="47">
                  <c:v>3.8</c:v>
                </c:pt>
                <c:pt idx="48">
                  <c:v>3.8</c:v>
                </c:pt>
                <c:pt idx="49">
                  <c:v>3.8</c:v>
                </c:pt>
                <c:pt idx="50">
                  <c:v>3.8</c:v>
                </c:pt>
                <c:pt idx="51">
                  <c:v>3.8</c:v>
                </c:pt>
                <c:pt idx="53">
                  <c:v>3.8</c:v>
                </c:pt>
                <c:pt idx="54">
                  <c:v>3.8</c:v>
                </c:pt>
                <c:pt idx="55">
                  <c:v>3.8</c:v>
                </c:pt>
                <c:pt idx="56">
                  <c:v>4</c:v>
                </c:pt>
                <c:pt idx="60">
                  <c:v>4.3</c:v>
                </c:pt>
                <c:pt idx="61">
                  <c:v>4.4000000000000004</c:v>
                </c:pt>
                <c:pt idx="62">
                  <c:v>4.0999999999999996</c:v>
                </c:pt>
                <c:pt idx="63">
                  <c:v>4</c:v>
                </c:pt>
                <c:pt idx="66">
                  <c:v>3</c:v>
                </c:pt>
                <c:pt idx="67">
                  <c:v>4.3</c:v>
                </c:pt>
                <c:pt idx="71">
                  <c:v>3.8</c:v>
                </c:pt>
                <c:pt idx="72">
                  <c:v>4.3</c:v>
                </c:pt>
                <c:pt idx="73">
                  <c:v>4</c:v>
                </c:pt>
                <c:pt idx="74">
                  <c:v>3.8</c:v>
                </c:pt>
                <c:pt idx="76">
                  <c:v>3</c:v>
                </c:pt>
                <c:pt idx="77">
                  <c:v>4.0999999999999996</c:v>
                </c:pt>
                <c:pt idx="78">
                  <c:v>3.8</c:v>
                </c:pt>
                <c:pt idx="79">
                  <c:v>3.8</c:v>
                </c:pt>
                <c:pt idx="80">
                  <c:v>4.2</c:v>
                </c:pt>
                <c:pt idx="81">
                  <c:v>3.8</c:v>
                </c:pt>
                <c:pt idx="82">
                  <c:v>3.8</c:v>
                </c:pt>
                <c:pt idx="83">
                  <c:v>3.8</c:v>
                </c:pt>
                <c:pt idx="84">
                  <c:v>3</c:v>
                </c:pt>
                <c:pt idx="85">
                  <c:v>3.8</c:v>
                </c:pt>
                <c:pt idx="86">
                  <c:v>3.8</c:v>
                </c:pt>
                <c:pt idx="88">
                  <c:v>3.8</c:v>
                </c:pt>
                <c:pt idx="89">
                  <c:v>3.8</c:v>
                </c:pt>
                <c:pt idx="92">
                  <c:v>3.8</c:v>
                </c:pt>
                <c:pt idx="93">
                  <c:v>3.8</c:v>
                </c:pt>
                <c:pt idx="94">
                  <c:v>3.8</c:v>
                </c:pt>
                <c:pt idx="95">
                  <c:v>4.3</c:v>
                </c:pt>
                <c:pt idx="96">
                  <c:v>3.8</c:v>
                </c:pt>
                <c:pt idx="97">
                  <c:v>3.8</c:v>
                </c:pt>
                <c:pt idx="98">
                  <c:v>3.8</c:v>
                </c:pt>
                <c:pt idx="99">
                  <c:v>3.8</c:v>
                </c:pt>
                <c:pt idx="100">
                  <c:v>3.8</c:v>
                </c:pt>
                <c:pt idx="102">
                  <c:v>3.8</c:v>
                </c:pt>
                <c:pt idx="103">
                  <c:v>3.8</c:v>
                </c:pt>
                <c:pt idx="105">
                  <c:v>3.8</c:v>
                </c:pt>
                <c:pt idx="108">
                  <c:v>3</c:v>
                </c:pt>
              </c:numCache>
            </c:numRef>
          </c:val>
          <c:extLst>
            <c:ext xmlns:c16="http://schemas.microsoft.com/office/drawing/2014/chart" uri="{C3380CC4-5D6E-409C-BE32-E72D297353CC}">
              <c16:uniqueId val="{00000001-B496-4EEB-BF09-BDB0437718CE}"/>
            </c:ext>
          </c:extLst>
        </c:ser>
        <c:ser>
          <c:idx val="2"/>
          <c:order val="2"/>
          <c:tx>
            <c:strRef>
              <c:f>'D1 PRODUCTS'!$D$3:$D$5</c:f>
              <c:strCache>
                <c:ptCount val="1"/>
                <c:pt idx="0">
                  <c:v>Execellent - Count of Product</c:v>
                </c:pt>
              </c:strCache>
            </c:strRef>
          </c:tx>
          <c:spPr>
            <a:solidFill>
              <a:schemeClr val="accent3"/>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PRODUCTS'!$D$6:$D$115</c:f>
              <c:numCache>
                <c:formatCode>General</c:formatCode>
                <c:ptCount val="109"/>
                <c:pt idx="0">
                  <c:v>1</c:v>
                </c:pt>
                <c:pt idx="1">
                  <c:v>1</c:v>
                </c:pt>
                <c:pt idx="2">
                  <c:v>1</c:v>
                </c:pt>
                <c:pt idx="4">
                  <c:v>1</c:v>
                </c:pt>
                <c:pt idx="8">
                  <c:v>1</c:v>
                </c:pt>
                <c:pt idx="18">
                  <c:v>1</c:v>
                </c:pt>
                <c:pt idx="22">
                  <c:v>1</c:v>
                </c:pt>
                <c:pt idx="27">
                  <c:v>1</c:v>
                </c:pt>
                <c:pt idx="28">
                  <c:v>1</c:v>
                </c:pt>
                <c:pt idx="40">
                  <c:v>1</c:v>
                </c:pt>
                <c:pt idx="44">
                  <c:v>1</c:v>
                </c:pt>
                <c:pt idx="52">
                  <c:v>1</c:v>
                </c:pt>
                <c:pt idx="57">
                  <c:v>1</c:v>
                </c:pt>
                <c:pt idx="59">
                  <c:v>1</c:v>
                </c:pt>
                <c:pt idx="65">
                  <c:v>1</c:v>
                </c:pt>
                <c:pt idx="68">
                  <c:v>1</c:v>
                </c:pt>
                <c:pt idx="69">
                  <c:v>1</c:v>
                </c:pt>
                <c:pt idx="70">
                  <c:v>1</c:v>
                </c:pt>
                <c:pt idx="75">
                  <c:v>1</c:v>
                </c:pt>
                <c:pt idx="87">
                  <c:v>1</c:v>
                </c:pt>
                <c:pt idx="90">
                  <c:v>1</c:v>
                </c:pt>
                <c:pt idx="91">
                  <c:v>1</c:v>
                </c:pt>
                <c:pt idx="107">
                  <c:v>1</c:v>
                </c:pt>
              </c:numCache>
            </c:numRef>
          </c:val>
          <c:extLst>
            <c:ext xmlns:c16="http://schemas.microsoft.com/office/drawing/2014/chart" uri="{C3380CC4-5D6E-409C-BE32-E72D297353CC}">
              <c16:uniqueId val="{00000000-68D1-4EBA-88B2-16575E76810E}"/>
            </c:ext>
          </c:extLst>
        </c:ser>
        <c:ser>
          <c:idx val="3"/>
          <c:order val="3"/>
          <c:tx>
            <c:strRef>
              <c:f>'D1 PRODUCTS'!$E$3:$E$5</c:f>
              <c:strCache>
                <c:ptCount val="1"/>
                <c:pt idx="0">
                  <c:v>Execellent - Sum of Rating</c:v>
                </c:pt>
              </c:strCache>
            </c:strRef>
          </c:tx>
          <c:spPr>
            <a:solidFill>
              <a:schemeClr val="accent4"/>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PRODUCTS'!$E$6:$E$115</c:f>
              <c:numCache>
                <c:formatCode>General</c:formatCode>
                <c:ptCount val="109"/>
                <c:pt idx="0">
                  <c:v>4.5</c:v>
                </c:pt>
                <c:pt idx="1">
                  <c:v>4.7</c:v>
                </c:pt>
                <c:pt idx="2">
                  <c:v>4.5</c:v>
                </c:pt>
                <c:pt idx="4">
                  <c:v>4.7</c:v>
                </c:pt>
                <c:pt idx="8">
                  <c:v>4.5999999999999996</c:v>
                </c:pt>
                <c:pt idx="18">
                  <c:v>4.5999999999999996</c:v>
                </c:pt>
                <c:pt idx="22">
                  <c:v>4.8</c:v>
                </c:pt>
                <c:pt idx="27">
                  <c:v>4.5</c:v>
                </c:pt>
                <c:pt idx="28">
                  <c:v>4.7</c:v>
                </c:pt>
                <c:pt idx="40">
                  <c:v>5</c:v>
                </c:pt>
                <c:pt idx="44">
                  <c:v>5</c:v>
                </c:pt>
                <c:pt idx="52">
                  <c:v>5</c:v>
                </c:pt>
                <c:pt idx="57">
                  <c:v>5</c:v>
                </c:pt>
                <c:pt idx="59">
                  <c:v>4.5999999999999996</c:v>
                </c:pt>
                <c:pt idx="65">
                  <c:v>5</c:v>
                </c:pt>
                <c:pt idx="68">
                  <c:v>5</c:v>
                </c:pt>
                <c:pt idx="69">
                  <c:v>4.5</c:v>
                </c:pt>
                <c:pt idx="70">
                  <c:v>4.8</c:v>
                </c:pt>
                <c:pt idx="75">
                  <c:v>4.5999999999999996</c:v>
                </c:pt>
                <c:pt idx="87">
                  <c:v>5</c:v>
                </c:pt>
                <c:pt idx="90">
                  <c:v>4.8</c:v>
                </c:pt>
                <c:pt idx="91">
                  <c:v>4.5999999999999996</c:v>
                </c:pt>
                <c:pt idx="107">
                  <c:v>4.7</c:v>
                </c:pt>
              </c:numCache>
            </c:numRef>
          </c:val>
          <c:extLst>
            <c:ext xmlns:c16="http://schemas.microsoft.com/office/drawing/2014/chart" uri="{C3380CC4-5D6E-409C-BE32-E72D297353CC}">
              <c16:uniqueId val="{00000001-68D1-4EBA-88B2-16575E76810E}"/>
            </c:ext>
          </c:extLst>
        </c:ser>
        <c:ser>
          <c:idx val="4"/>
          <c:order val="4"/>
          <c:tx>
            <c:strRef>
              <c:f>'D1 PRODUCTS'!$F$3:$F$5</c:f>
              <c:strCache>
                <c:ptCount val="1"/>
                <c:pt idx="0">
                  <c:v>Poor - Count of Product</c:v>
                </c:pt>
              </c:strCache>
            </c:strRef>
          </c:tx>
          <c:spPr>
            <a:solidFill>
              <a:schemeClr val="accent5"/>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PRODUCTS'!$F$6:$F$115</c:f>
              <c:numCache>
                <c:formatCode>General</c:formatCode>
                <c:ptCount val="109"/>
                <c:pt idx="5">
                  <c:v>1</c:v>
                </c:pt>
                <c:pt idx="17">
                  <c:v>1</c:v>
                </c:pt>
                <c:pt idx="25">
                  <c:v>1</c:v>
                </c:pt>
                <c:pt idx="30">
                  <c:v>1</c:v>
                </c:pt>
                <c:pt idx="35">
                  <c:v>1</c:v>
                </c:pt>
                <c:pt idx="38">
                  <c:v>1</c:v>
                </c:pt>
                <c:pt idx="41">
                  <c:v>1</c:v>
                </c:pt>
                <c:pt idx="58">
                  <c:v>1</c:v>
                </c:pt>
                <c:pt idx="64">
                  <c:v>1</c:v>
                </c:pt>
                <c:pt idx="101">
                  <c:v>1</c:v>
                </c:pt>
                <c:pt idx="104">
                  <c:v>1</c:v>
                </c:pt>
                <c:pt idx="106">
                  <c:v>1</c:v>
                </c:pt>
              </c:numCache>
            </c:numRef>
          </c:val>
          <c:extLst>
            <c:ext xmlns:c16="http://schemas.microsoft.com/office/drawing/2014/chart" uri="{C3380CC4-5D6E-409C-BE32-E72D297353CC}">
              <c16:uniqueId val="{00000002-68D1-4EBA-88B2-16575E76810E}"/>
            </c:ext>
          </c:extLst>
        </c:ser>
        <c:ser>
          <c:idx val="5"/>
          <c:order val="5"/>
          <c:tx>
            <c:strRef>
              <c:f>'D1 PRODUCTS'!$G$3:$G$5</c:f>
              <c:strCache>
                <c:ptCount val="1"/>
                <c:pt idx="0">
                  <c:v>Poor - Sum of Rating</c:v>
                </c:pt>
              </c:strCache>
            </c:strRef>
          </c:tx>
          <c:spPr>
            <a:solidFill>
              <a:schemeClr val="accent6"/>
            </a:solidFill>
            <a:ln>
              <a:noFill/>
            </a:ln>
            <a:effectLst/>
          </c:spPr>
          <c:invertIfNegative val="0"/>
          <c:cat>
            <c:strRef>
              <c:f>'D1 PRODUCTS'!$A$6:$A$115</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'D1 PRODUCTS'!$G$6:$G$115</c:f>
              <c:numCache>
                <c:formatCode>General</c:formatCode>
                <c:ptCount val="109"/>
                <c:pt idx="5">
                  <c:v>2.8</c:v>
                </c:pt>
                <c:pt idx="17">
                  <c:v>2.2999999999999998</c:v>
                </c:pt>
                <c:pt idx="25">
                  <c:v>2.5</c:v>
                </c:pt>
                <c:pt idx="30">
                  <c:v>2.1</c:v>
                </c:pt>
                <c:pt idx="35">
                  <c:v>2.2000000000000002</c:v>
                </c:pt>
                <c:pt idx="38">
                  <c:v>2.6</c:v>
                </c:pt>
                <c:pt idx="41">
                  <c:v>2.2000000000000002</c:v>
                </c:pt>
                <c:pt idx="58">
                  <c:v>2.1</c:v>
                </c:pt>
                <c:pt idx="64">
                  <c:v>2.7</c:v>
                </c:pt>
                <c:pt idx="101">
                  <c:v>2.9</c:v>
                </c:pt>
                <c:pt idx="104">
                  <c:v>2</c:v>
                </c:pt>
                <c:pt idx="106">
                  <c:v>2.2999999999999998</c:v>
                </c:pt>
              </c:numCache>
            </c:numRef>
          </c:val>
          <c:extLst>
            <c:ext xmlns:c16="http://schemas.microsoft.com/office/drawing/2014/chart" uri="{C3380CC4-5D6E-409C-BE32-E72D297353CC}">
              <c16:uniqueId val="{00000003-68D1-4EBA-88B2-16575E76810E}"/>
            </c:ext>
          </c:extLst>
        </c:ser>
        <c:dLbls>
          <c:showLegendKey val="0"/>
          <c:showVal val="0"/>
          <c:showCatName val="0"/>
          <c:showSerName val="0"/>
          <c:showPercent val="0"/>
          <c:showBubbleSize val="0"/>
        </c:dLbls>
        <c:gapWidth val="219"/>
        <c:axId val="1211885039"/>
        <c:axId val="1211897103"/>
      </c:barChart>
      <c:catAx>
        <c:axId val="121188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97103"/>
        <c:crosses val="autoZero"/>
        <c:auto val="1"/>
        <c:lblAlgn val="ctr"/>
        <c:lblOffset val="100"/>
        <c:noMultiLvlLbl val="0"/>
      </c:catAx>
      <c:valAx>
        <c:axId val="121189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8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 ANALYSIS.xlsx]TREND !PivotTable8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PERCENTAGE BY NUMBER OF REVIEWS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'!$B$5</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'!$A$6:$A$52</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'TREND '!$B$6:$B$52</c:f>
              <c:numCache>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pt idx="44">
                  <c:v>0</c:v>
                </c:pt>
                <c:pt idx="45">
                  <c:v>0</c:v>
                </c:pt>
              </c:numCache>
            </c:numRef>
          </c:val>
          <c:smooth val="0"/>
          <c:extLst>
            <c:ext xmlns:c16="http://schemas.microsoft.com/office/drawing/2014/chart" uri="{C3380CC4-5D6E-409C-BE32-E72D297353CC}">
              <c16:uniqueId val="{00000000-6471-46FF-9AFE-1433A28517EE}"/>
            </c:ext>
          </c:extLst>
        </c:ser>
        <c:dLbls>
          <c:showLegendKey val="0"/>
          <c:showVal val="0"/>
          <c:showCatName val="0"/>
          <c:showSerName val="0"/>
          <c:showPercent val="0"/>
          <c:showBubbleSize val="0"/>
        </c:dLbls>
        <c:marker val="1"/>
        <c:smooth val="0"/>
        <c:axId val="1011822959"/>
        <c:axId val="1011825039"/>
      </c:lineChart>
      <c:catAx>
        <c:axId val="101182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5039"/>
        <c:crosses val="autoZero"/>
        <c:auto val="1"/>
        <c:lblAlgn val="ctr"/>
        <c:lblOffset val="100"/>
        <c:noMultiLvlLbl val="0"/>
      </c:catAx>
      <c:valAx>
        <c:axId val="101182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ANALYSIS.xlsx]TREND !PivotTable11</c:name>
    <c:fmtId val="0"/>
  </c:pivotSource>
  <c:chart>
    <c:title>
      <c:tx>
        <c:rich>
          <a:bodyPr rot="0" spcFirstLastPara="1" vertOverflow="ellipsis" vert="horz" wrap="square" anchor="ctr" anchorCtr="1"/>
          <a:lstStyle/>
          <a:p>
            <a:pPr algn="l">
              <a:defRPr sz="1400" b="0" i="0" u="none" strike="noStrike" kern="1200" spc="0" baseline="0">
                <a:solidFill>
                  <a:srgbClr val="7030A0"/>
                </a:solidFill>
                <a:latin typeface="+mn-lt"/>
                <a:ea typeface="+mn-ea"/>
                <a:cs typeface="+mn-cs"/>
              </a:defRPr>
            </a:pPr>
            <a:r>
              <a:rPr lang="en-US" b="1">
                <a:solidFill>
                  <a:srgbClr val="7030A0"/>
                </a:solidFill>
              </a:rPr>
              <a:t>RATING</a:t>
            </a:r>
            <a:r>
              <a:rPr lang="en-US" b="1" baseline="0">
                <a:solidFill>
                  <a:srgbClr val="7030A0"/>
                </a:solidFill>
              </a:rPr>
              <a:t> BY NUMBER OF REVIEWS</a:t>
            </a:r>
          </a:p>
          <a:p>
            <a:pPr algn="l">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'!$B$60</c:f>
              <c:strCache>
                <c:ptCount val="1"/>
                <c:pt idx="0">
                  <c:v>Sum of Rating</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'TREND '!$B$61</c:f>
              <c:strCache>
                <c:ptCount val="1"/>
                <c:pt idx="0">
                  <c:v>Total</c:v>
                </c:pt>
              </c:strCache>
            </c:strRef>
          </c:cat>
          <c:val>
            <c:numRef>
              <c:f>'TREND '!$B$61</c:f>
              <c:numCache>
                <c:formatCode>General</c:formatCode>
                <c:ptCount val="1"/>
                <c:pt idx="0">
                  <c:v>422.64220183486299</c:v>
                </c:pt>
              </c:numCache>
            </c:numRef>
          </c:val>
          <c:extLst>
            <c:ext xmlns:c16="http://schemas.microsoft.com/office/drawing/2014/chart" uri="{C3380CC4-5D6E-409C-BE32-E72D297353CC}">
              <c16:uniqueId val="{00000000-34DB-40BA-B748-9C31F6D90E86}"/>
            </c:ext>
          </c:extLst>
        </c:ser>
        <c:ser>
          <c:idx val="1"/>
          <c:order val="1"/>
          <c:tx>
            <c:strRef>
              <c:f>'TREND '!$C$60</c:f>
              <c:strCache>
                <c:ptCount val="1"/>
                <c:pt idx="0">
                  <c:v>Sum of Review 2</c:v>
                </c:pt>
              </c:strCache>
            </c:strRef>
          </c:tx>
          <c:spPr>
            <a:solidFill>
              <a:schemeClr val="accent2"/>
            </a:solidFill>
            <a:ln>
              <a:noFill/>
            </a:ln>
            <a:effectLst/>
          </c:spPr>
          <c:invertIfNegative val="0"/>
          <c:cat>
            <c:strRef>
              <c:f>'TREND '!$B$61</c:f>
              <c:strCache>
                <c:ptCount val="1"/>
                <c:pt idx="0">
                  <c:v>Total</c:v>
                </c:pt>
              </c:strCache>
            </c:strRef>
          </c:cat>
          <c:val>
            <c:numRef>
              <c:f>'TREND '!$C$61</c:f>
              <c:numCache>
                <c:formatCode>General</c:formatCode>
                <c:ptCount val="1"/>
                <c:pt idx="0">
                  <c:v>723</c:v>
                </c:pt>
              </c:numCache>
            </c:numRef>
          </c:val>
          <c:extLst>
            <c:ext xmlns:c16="http://schemas.microsoft.com/office/drawing/2014/chart" uri="{C3380CC4-5D6E-409C-BE32-E72D297353CC}">
              <c16:uniqueId val="{00000002-34DB-40BA-B748-9C31F6D90E86}"/>
            </c:ext>
          </c:extLst>
        </c:ser>
        <c:dLbls>
          <c:showLegendKey val="0"/>
          <c:showVal val="0"/>
          <c:showCatName val="0"/>
          <c:showSerName val="0"/>
          <c:showPercent val="0"/>
          <c:showBubbleSize val="0"/>
        </c:dLbls>
        <c:gapWidth val="219"/>
        <c:axId val="1007400783"/>
        <c:axId val="1007404111"/>
      </c:barChart>
      <c:catAx>
        <c:axId val="10074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04111"/>
        <c:crosses val="autoZero"/>
        <c:auto val="1"/>
        <c:lblAlgn val="ctr"/>
        <c:lblOffset val="100"/>
        <c:noMultiLvlLbl val="0"/>
      </c:catAx>
      <c:valAx>
        <c:axId val="100740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ANALYSIS.xlsx]TREND !PivotTable12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DISCOUNT CATEGORY  BY REVIEW </a:t>
            </a:r>
          </a:p>
          <a:p>
            <a:pPr>
              <a:defRPr/>
            </a:pPr>
            <a:endParaRPr lang="en-US"/>
          </a:p>
        </c:rich>
      </c:tx>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pieChart>
        <c:varyColors val="1"/>
        <c:ser>
          <c:idx val="0"/>
          <c:order val="0"/>
          <c:tx>
            <c:strRef>
              <c:f>'TREND '!$C$88</c:f>
              <c:strCache>
                <c:ptCount val="1"/>
                <c:pt idx="0">
                  <c:v>Count of Discount</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B170-4FDD-9958-8284BBFF7141}"/>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B170-4FDD-9958-8284BBFF7141}"/>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B170-4FDD-9958-8284BBFF7141}"/>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B170-4FDD-9958-8284BBFF7141}"/>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B170-4FDD-9958-8284BBFF7141}"/>
              </c:ext>
            </c:extLst>
          </c:dPt>
          <c:dPt>
            <c:idx val="5"/>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0B-B170-4FDD-9958-8284BBFF7141}"/>
              </c:ext>
            </c:extLst>
          </c:dPt>
          <c:dPt>
            <c:idx val="6"/>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extLst>
              <c:ext xmlns:c16="http://schemas.microsoft.com/office/drawing/2014/chart" uri="{C3380CC4-5D6E-409C-BE32-E72D297353CC}">
                <c16:uniqueId val="{0000000D-B170-4FDD-9958-8284BBFF7141}"/>
              </c:ext>
            </c:extLst>
          </c:dPt>
          <c:dPt>
            <c:idx val="7"/>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extLst>
              <c:ext xmlns:c16="http://schemas.microsoft.com/office/drawing/2014/chart" uri="{C3380CC4-5D6E-409C-BE32-E72D297353CC}">
                <c16:uniqueId val="{0000000F-B170-4FDD-9958-8284BBFF7141}"/>
              </c:ext>
            </c:extLst>
          </c:dPt>
          <c:dPt>
            <c:idx val="8"/>
            <c:bubble3D val="0"/>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extLst>
              <c:ext xmlns:c16="http://schemas.microsoft.com/office/drawing/2014/chart" uri="{C3380CC4-5D6E-409C-BE32-E72D297353CC}">
                <c16:uniqueId val="{00000011-B170-4FDD-9958-8284BBFF7141}"/>
              </c:ext>
            </c:extLst>
          </c:dPt>
          <c:dPt>
            <c:idx val="9"/>
            <c:bubble3D val="0"/>
            <c:spPr>
              <a:gradFill rotWithShape="1">
                <a:gsLst>
                  <a:gs pos="0">
                    <a:schemeClr val="accent6">
                      <a:lumMod val="80000"/>
                      <a:lumMod val="110000"/>
                      <a:satMod val="105000"/>
                      <a:tint val="67000"/>
                    </a:schemeClr>
                  </a:gs>
                  <a:gs pos="50000">
                    <a:schemeClr val="accent6">
                      <a:lumMod val="80000"/>
                      <a:lumMod val="105000"/>
                      <a:satMod val="103000"/>
                      <a:tint val="73000"/>
                    </a:schemeClr>
                  </a:gs>
                  <a:gs pos="100000">
                    <a:schemeClr val="accent6">
                      <a:lumMod val="80000"/>
                      <a:lumMod val="105000"/>
                      <a:satMod val="109000"/>
                      <a:tint val="81000"/>
                    </a:schemeClr>
                  </a:gs>
                </a:gsLst>
                <a:lin ang="5400000" scaled="0"/>
              </a:gradFill>
              <a:ln w="9525" cap="flat" cmpd="sng" algn="ctr">
                <a:solidFill>
                  <a:schemeClr val="accent6">
                    <a:lumMod val="80000"/>
                    <a:shade val="95000"/>
                  </a:schemeClr>
                </a:solidFill>
                <a:round/>
              </a:ln>
              <a:effectLst/>
            </c:spPr>
            <c:extLst>
              <c:ext xmlns:c16="http://schemas.microsoft.com/office/drawing/2014/chart" uri="{C3380CC4-5D6E-409C-BE32-E72D297353CC}">
                <c16:uniqueId val="{00000013-B170-4FDD-9958-8284BBFF71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'TREND '!$B$89:$B$103</c:f>
              <c:multiLvlStrCache>
                <c:ptCount val="10"/>
                <c:lvl>
                  <c:pt idx="0">
                    <c:v>Average</c:v>
                  </c:pt>
                  <c:pt idx="1">
                    <c:v>Execellent</c:v>
                  </c:pt>
                  <c:pt idx="2">
                    <c:v>Poor</c:v>
                  </c:pt>
                  <c:pt idx="3">
                    <c:v>Average</c:v>
                  </c:pt>
                  <c:pt idx="4">
                    <c:v>Execellent</c:v>
                  </c:pt>
                  <c:pt idx="5">
                    <c:v>Poor</c:v>
                  </c:pt>
                  <c:pt idx="6">
                    <c:v>Average</c:v>
                  </c:pt>
                  <c:pt idx="7">
                    <c:v>Execellent</c:v>
                  </c:pt>
                  <c:pt idx="8">
                    <c:v>Poor</c:v>
                  </c:pt>
                  <c:pt idx="9">
                    <c:v>(blank)</c:v>
                  </c:pt>
                </c:lvl>
                <c:lvl>
                  <c:pt idx="0">
                    <c:v>High</c:v>
                  </c:pt>
                  <c:pt idx="3">
                    <c:v>Low</c:v>
                  </c:pt>
                  <c:pt idx="6">
                    <c:v>Medium</c:v>
                  </c:pt>
                  <c:pt idx="9">
                    <c:v>(blank)</c:v>
                  </c:pt>
                </c:lvl>
              </c:multiLvlStrCache>
            </c:multiLvlStrRef>
          </c:cat>
          <c:val>
            <c:numRef>
              <c:f>'TREND '!$C$89:$C$103</c:f>
              <c:numCache>
                <c:formatCode>General</c:formatCode>
                <c:ptCount val="10"/>
                <c:pt idx="0">
                  <c:v>40</c:v>
                </c:pt>
                <c:pt idx="1">
                  <c:v>9</c:v>
                </c:pt>
                <c:pt idx="2">
                  <c:v>10</c:v>
                </c:pt>
                <c:pt idx="3">
                  <c:v>16</c:v>
                </c:pt>
                <c:pt idx="4">
                  <c:v>1</c:v>
                </c:pt>
                <c:pt idx="5">
                  <c:v>1</c:v>
                </c:pt>
                <c:pt idx="6">
                  <c:v>18</c:v>
                </c:pt>
                <c:pt idx="7">
                  <c:v>13</c:v>
                </c:pt>
                <c:pt idx="8">
                  <c:v>1</c:v>
                </c:pt>
              </c:numCache>
            </c:numRef>
          </c:val>
          <c:extLst>
            <c:ext xmlns:c16="http://schemas.microsoft.com/office/drawing/2014/chart" uri="{C3380CC4-5D6E-409C-BE32-E72D297353CC}">
              <c16:uniqueId val="{00000000-D828-4AD2-80E7-806B1F0449AA}"/>
            </c:ext>
          </c:extLst>
        </c:ser>
        <c:ser>
          <c:idx val="1"/>
          <c:order val="1"/>
          <c:tx>
            <c:strRef>
              <c:f>'TREND '!$D$88</c:f>
              <c:strCache>
                <c:ptCount val="1"/>
                <c:pt idx="0">
                  <c:v>Count of Review 2</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15-B170-4FDD-9958-8284BBFF7141}"/>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17-B170-4FDD-9958-8284BBFF7141}"/>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19-B170-4FDD-9958-8284BBFF7141}"/>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B-B170-4FDD-9958-8284BBFF7141}"/>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D-B170-4FDD-9958-8284BBFF7141}"/>
              </c:ext>
            </c:extLst>
          </c:dPt>
          <c:dPt>
            <c:idx val="5"/>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F-B170-4FDD-9958-8284BBFF7141}"/>
              </c:ext>
            </c:extLst>
          </c:dPt>
          <c:dPt>
            <c:idx val="6"/>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extLst>
              <c:ext xmlns:c16="http://schemas.microsoft.com/office/drawing/2014/chart" uri="{C3380CC4-5D6E-409C-BE32-E72D297353CC}">
                <c16:uniqueId val="{00000021-B170-4FDD-9958-8284BBFF7141}"/>
              </c:ext>
            </c:extLst>
          </c:dPt>
          <c:dPt>
            <c:idx val="7"/>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extLst>
              <c:ext xmlns:c16="http://schemas.microsoft.com/office/drawing/2014/chart" uri="{C3380CC4-5D6E-409C-BE32-E72D297353CC}">
                <c16:uniqueId val="{00000023-B170-4FDD-9958-8284BBFF7141}"/>
              </c:ext>
            </c:extLst>
          </c:dPt>
          <c:dPt>
            <c:idx val="8"/>
            <c:bubble3D val="0"/>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extLst>
              <c:ext xmlns:c16="http://schemas.microsoft.com/office/drawing/2014/chart" uri="{C3380CC4-5D6E-409C-BE32-E72D297353CC}">
                <c16:uniqueId val="{00000025-B170-4FDD-9958-8284BBFF7141}"/>
              </c:ext>
            </c:extLst>
          </c:dPt>
          <c:dPt>
            <c:idx val="9"/>
            <c:bubble3D val="0"/>
            <c:spPr>
              <a:gradFill rotWithShape="1">
                <a:gsLst>
                  <a:gs pos="0">
                    <a:schemeClr val="accent6">
                      <a:lumMod val="80000"/>
                      <a:lumMod val="110000"/>
                      <a:satMod val="105000"/>
                      <a:tint val="67000"/>
                    </a:schemeClr>
                  </a:gs>
                  <a:gs pos="50000">
                    <a:schemeClr val="accent6">
                      <a:lumMod val="80000"/>
                      <a:lumMod val="105000"/>
                      <a:satMod val="103000"/>
                      <a:tint val="73000"/>
                    </a:schemeClr>
                  </a:gs>
                  <a:gs pos="100000">
                    <a:schemeClr val="accent6">
                      <a:lumMod val="80000"/>
                      <a:lumMod val="105000"/>
                      <a:satMod val="109000"/>
                      <a:tint val="81000"/>
                    </a:schemeClr>
                  </a:gs>
                </a:gsLst>
                <a:lin ang="5400000" scaled="0"/>
              </a:gradFill>
              <a:ln w="9525" cap="flat" cmpd="sng" algn="ctr">
                <a:solidFill>
                  <a:schemeClr val="accent6">
                    <a:lumMod val="80000"/>
                    <a:shade val="95000"/>
                  </a:schemeClr>
                </a:solidFill>
                <a:round/>
              </a:ln>
              <a:effectLst/>
            </c:spPr>
            <c:extLst>
              <c:ext xmlns:c16="http://schemas.microsoft.com/office/drawing/2014/chart" uri="{C3380CC4-5D6E-409C-BE32-E72D297353CC}">
                <c16:uniqueId val="{00000027-B170-4FDD-9958-8284BBFF71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'TREND '!$B$89:$B$103</c:f>
              <c:multiLvlStrCache>
                <c:ptCount val="10"/>
                <c:lvl>
                  <c:pt idx="0">
                    <c:v>Average</c:v>
                  </c:pt>
                  <c:pt idx="1">
                    <c:v>Execellent</c:v>
                  </c:pt>
                  <c:pt idx="2">
                    <c:v>Poor</c:v>
                  </c:pt>
                  <c:pt idx="3">
                    <c:v>Average</c:v>
                  </c:pt>
                  <c:pt idx="4">
                    <c:v>Execellent</c:v>
                  </c:pt>
                  <c:pt idx="5">
                    <c:v>Poor</c:v>
                  </c:pt>
                  <c:pt idx="6">
                    <c:v>Average</c:v>
                  </c:pt>
                  <c:pt idx="7">
                    <c:v>Execellent</c:v>
                  </c:pt>
                  <c:pt idx="8">
                    <c:v>Poor</c:v>
                  </c:pt>
                  <c:pt idx="9">
                    <c:v>(blank)</c:v>
                  </c:pt>
                </c:lvl>
                <c:lvl>
                  <c:pt idx="0">
                    <c:v>High</c:v>
                  </c:pt>
                  <c:pt idx="3">
                    <c:v>Low</c:v>
                  </c:pt>
                  <c:pt idx="6">
                    <c:v>Medium</c:v>
                  </c:pt>
                  <c:pt idx="9">
                    <c:v>(blank)</c:v>
                  </c:pt>
                </c:lvl>
              </c:multiLvlStrCache>
            </c:multiLvlStrRef>
          </c:cat>
          <c:val>
            <c:numRef>
              <c:f>'TREND '!$D$89:$D$103</c:f>
              <c:numCache>
                <c:formatCode>General</c:formatCode>
                <c:ptCount val="10"/>
                <c:pt idx="0">
                  <c:v>40</c:v>
                </c:pt>
                <c:pt idx="1">
                  <c:v>9</c:v>
                </c:pt>
                <c:pt idx="2">
                  <c:v>10</c:v>
                </c:pt>
                <c:pt idx="3">
                  <c:v>16</c:v>
                </c:pt>
                <c:pt idx="4">
                  <c:v>1</c:v>
                </c:pt>
                <c:pt idx="5">
                  <c:v>1</c:v>
                </c:pt>
                <c:pt idx="6">
                  <c:v>18</c:v>
                </c:pt>
                <c:pt idx="7">
                  <c:v>13</c:v>
                </c:pt>
                <c:pt idx="8">
                  <c:v>1</c:v>
                </c:pt>
              </c:numCache>
            </c:numRef>
          </c:val>
          <c:extLst>
            <c:ext xmlns:c16="http://schemas.microsoft.com/office/drawing/2014/chart" uri="{C3380CC4-5D6E-409C-BE32-E72D297353CC}">
              <c16:uniqueId val="{00000004-D828-4AD2-80E7-806B1F0449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ANALYSIS.xlsx]TREND !PivotTable13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 </a:t>
            </a:r>
            <a:r>
              <a:rPr lang="en-US" baseline="0"/>
              <a:t>RATED PRODUCTS VERSUS REVIEW</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'!$E$116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 '!$D$117:$D$120</c:f>
              <c:strCache>
                <c:ptCount val="3"/>
                <c:pt idx="0">
                  <c:v>High</c:v>
                </c:pt>
                <c:pt idx="1">
                  <c:v>Low</c:v>
                </c:pt>
                <c:pt idx="2">
                  <c:v>Medium</c:v>
                </c:pt>
              </c:strCache>
            </c:strRef>
          </c:cat>
          <c:val>
            <c:numRef>
              <c:f>'TREND '!$E$117:$E$120</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6510-41AE-8107-322639DBCB46}"/>
            </c:ext>
          </c:extLst>
        </c:ser>
        <c:dLbls>
          <c:showLegendKey val="0"/>
          <c:showVal val="0"/>
          <c:showCatName val="0"/>
          <c:showSerName val="0"/>
          <c:showPercent val="0"/>
          <c:showBubbleSize val="0"/>
        </c:dLbls>
        <c:marker val="1"/>
        <c:smooth val="0"/>
        <c:axId val="999553279"/>
        <c:axId val="999552447"/>
      </c:lineChart>
      <c:catAx>
        <c:axId val="99955327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552447"/>
        <c:crosses val="autoZero"/>
        <c:auto val="1"/>
        <c:lblAlgn val="ctr"/>
        <c:lblOffset val="100"/>
        <c:noMultiLvlLbl val="0"/>
      </c:catAx>
      <c:valAx>
        <c:axId val="9995524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55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ANALYSIS.xlsx]PPA!PivotTable10</c:name>
    <c:fmtId val="0"/>
  </c:pivotSource>
  <c:chart>
    <c:title>
      <c:tx>
        <c:rich>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5">
                    <a:lumMod val="50000"/>
                  </a:schemeClr>
                </a:solidFill>
              </a:rPr>
              <a:t>PRODUCTS DISCOUNT BASED ON RATINGS AND REVIEWS </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30390350142405E-2"/>
          <c:y val="0.34018282016044182"/>
          <c:w val="0.66016479081314061"/>
          <c:h val="0.49843658776670985"/>
        </c:manualLayout>
      </c:layout>
      <c:barChart>
        <c:barDir val="col"/>
        <c:grouping val="clustered"/>
        <c:varyColors val="0"/>
        <c:ser>
          <c:idx val="0"/>
          <c:order val="0"/>
          <c:tx>
            <c:strRef>
              <c:f>PPA!$B$116</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PPA!$B$117:$B$120</c:f>
              <c:numCache>
                <c:formatCode>0.0</c:formatCode>
                <c:ptCount val="3"/>
                <c:pt idx="0">
                  <c:v>3.6966101694915277</c:v>
                </c:pt>
                <c:pt idx="1">
                  <c:v>3.7833333333333323</c:v>
                </c:pt>
                <c:pt idx="2">
                  <c:v>4.1437500000000007</c:v>
                </c:pt>
              </c:numCache>
            </c:numRef>
          </c:val>
          <c:extLst>
            <c:ext xmlns:c16="http://schemas.microsoft.com/office/drawing/2014/chart" uri="{C3380CC4-5D6E-409C-BE32-E72D297353CC}">
              <c16:uniqueId val="{00000000-1695-4E8F-905B-FAA7CAA1DDEC}"/>
            </c:ext>
          </c:extLst>
        </c:ser>
        <c:ser>
          <c:idx val="1"/>
          <c:order val="1"/>
          <c:tx>
            <c:strRef>
              <c:f>PPA!$C$116</c:f>
              <c:strCache>
                <c:ptCount val="1"/>
                <c:pt idx="0">
                  <c:v>Count of Review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PPA!$C$117:$C$120</c:f>
              <c:numCache>
                <c:formatCode>General</c:formatCode>
                <c:ptCount val="3"/>
                <c:pt idx="0">
                  <c:v>59</c:v>
                </c:pt>
                <c:pt idx="1">
                  <c:v>18</c:v>
                </c:pt>
                <c:pt idx="2">
                  <c:v>32</c:v>
                </c:pt>
              </c:numCache>
            </c:numRef>
          </c:val>
          <c:extLst>
            <c:ext xmlns:c16="http://schemas.microsoft.com/office/drawing/2014/chart" uri="{C3380CC4-5D6E-409C-BE32-E72D297353CC}">
              <c16:uniqueId val="{00000002-1695-4E8F-905B-FAA7CAA1DDEC}"/>
            </c:ext>
          </c:extLst>
        </c:ser>
        <c:ser>
          <c:idx val="2"/>
          <c:order val="2"/>
          <c:tx>
            <c:strRef>
              <c:f>PPA!$D$116</c:f>
              <c:strCache>
                <c:ptCount val="1"/>
                <c:pt idx="0">
                  <c:v>Count of Discount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PPA!$A$117:$A$120</c:f>
              <c:strCache>
                <c:ptCount val="3"/>
                <c:pt idx="0">
                  <c:v>High</c:v>
                </c:pt>
                <c:pt idx="1">
                  <c:v>Low</c:v>
                </c:pt>
                <c:pt idx="2">
                  <c:v>Medium</c:v>
                </c:pt>
              </c:strCache>
            </c:strRef>
          </c:cat>
          <c:val>
            <c:numRef>
              <c:f>PPA!$D$117:$D$120</c:f>
              <c:numCache>
                <c:formatCode>General</c:formatCode>
                <c:ptCount val="3"/>
                <c:pt idx="0">
                  <c:v>59</c:v>
                </c:pt>
                <c:pt idx="1">
                  <c:v>18</c:v>
                </c:pt>
                <c:pt idx="2">
                  <c:v>32</c:v>
                </c:pt>
              </c:numCache>
            </c:numRef>
          </c:val>
          <c:extLst>
            <c:ext xmlns:c16="http://schemas.microsoft.com/office/drawing/2014/chart" uri="{C3380CC4-5D6E-409C-BE32-E72D297353CC}">
              <c16:uniqueId val="{00000004-1695-4E8F-905B-FAA7CAA1DDEC}"/>
            </c:ext>
          </c:extLst>
        </c:ser>
        <c:dLbls>
          <c:showLegendKey val="0"/>
          <c:showVal val="0"/>
          <c:showCatName val="0"/>
          <c:showSerName val="0"/>
          <c:showPercent val="0"/>
          <c:showBubbleSize val="0"/>
        </c:dLbls>
        <c:gapWidth val="100"/>
        <c:overlap val="-24"/>
        <c:axId val="760263631"/>
        <c:axId val="760266959"/>
      </c:barChart>
      <c:catAx>
        <c:axId val="760263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266959"/>
        <c:crosses val="autoZero"/>
        <c:auto val="1"/>
        <c:lblAlgn val="ctr"/>
        <c:lblOffset val="100"/>
        <c:noMultiLvlLbl val="0"/>
      </c:catAx>
      <c:valAx>
        <c:axId val="76026695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2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030A0"/>
                </a:solidFill>
              </a:rPr>
              <a:t>PRODUCT</a:t>
            </a:r>
            <a:r>
              <a:rPr lang="en-US" sz="1400" b="0" baseline="0">
                <a:solidFill>
                  <a:srgbClr val="7030A0"/>
                </a:solidFill>
              </a:rPr>
              <a:t> </a:t>
            </a:r>
            <a:r>
              <a:rPr lang="en-US" sz="1400" b="1" baseline="0">
                <a:solidFill>
                  <a:srgbClr val="7030A0"/>
                </a:solidFill>
              </a:rPr>
              <a:t>BY RATING</a:t>
            </a:r>
            <a:endParaRPr lang="en-US" sz="1400" b="1">
              <a:solidFill>
                <a:srgbClr val="7030A0"/>
              </a:solidFill>
            </a:endParaRPr>
          </a:p>
        </c:rich>
      </c:tx>
      <c:overlay val="0"/>
      <c:spPr>
        <a:solidFill>
          <a:schemeClr val="accent3">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
        <c:idx val="86"/>
        <c:spPr>
          <a:solidFill>
            <a:schemeClr val="accent1"/>
          </a:solidFill>
          <a:ln>
            <a:noFill/>
          </a:ln>
          <a:effectLst/>
          <a:sp3d/>
        </c:spPr>
      </c:pivotFmt>
      <c:pivotFmt>
        <c:idx val="87"/>
        <c:spPr>
          <a:solidFill>
            <a:schemeClr val="accent1"/>
          </a:solidFill>
          <a:ln>
            <a:noFill/>
          </a:ln>
          <a:effectLst/>
          <a:sp3d/>
        </c:spPr>
      </c:pivotFmt>
      <c:pivotFmt>
        <c:idx val="88"/>
        <c:spPr>
          <a:solidFill>
            <a:schemeClr val="accent1"/>
          </a:solidFill>
          <a:ln>
            <a:noFill/>
          </a:ln>
          <a:effectLst/>
          <a:sp3d/>
        </c:spPr>
      </c:pivotFmt>
      <c:pivotFmt>
        <c:idx val="89"/>
        <c:spPr>
          <a:solidFill>
            <a:schemeClr val="accent1"/>
          </a:solidFill>
          <a:ln>
            <a:noFill/>
          </a:ln>
          <a:effectLst/>
          <a:sp3d/>
        </c:spPr>
      </c:pivotFmt>
      <c:pivotFmt>
        <c:idx val="90"/>
        <c:spPr>
          <a:solidFill>
            <a:schemeClr val="accent1"/>
          </a:solidFill>
          <a:ln>
            <a:noFill/>
          </a:ln>
          <a:effectLst/>
          <a:sp3d/>
        </c:spPr>
      </c:pivotFmt>
      <c:pivotFmt>
        <c:idx val="91"/>
        <c:spPr>
          <a:solidFill>
            <a:schemeClr val="accent1"/>
          </a:solidFill>
          <a:ln>
            <a:noFill/>
          </a:ln>
          <a:effectLst/>
          <a:sp3d/>
        </c:spPr>
      </c:pivotFmt>
      <c:pivotFmt>
        <c:idx val="92"/>
        <c:spPr>
          <a:solidFill>
            <a:schemeClr val="accent1"/>
          </a:solidFill>
          <a:ln>
            <a:noFill/>
          </a:ln>
          <a:effectLst/>
          <a:sp3d/>
        </c:spPr>
      </c:pivotFmt>
      <c:pivotFmt>
        <c:idx val="93"/>
        <c:spPr>
          <a:solidFill>
            <a:schemeClr val="accent1"/>
          </a:solidFill>
          <a:ln>
            <a:noFill/>
          </a:ln>
          <a:effectLst/>
          <a:sp3d/>
        </c:spPr>
      </c:pivotFmt>
      <c:pivotFmt>
        <c:idx val="94"/>
        <c:spPr>
          <a:solidFill>
            <a:schemeClr val="accent1"/>
          </a:solidFill>
          <a:ln>
            <a:noFill/>
          </a:ln>
          <a:effectLst/>
          <a:sp3d/>
        </c:spPr>
      </c:pivotFmt>
      <c:pivotFmt>
        <c:idx val="95"/>
        <c:spPr>
          <a:solidFill>
            <a:schemeClr val="accent1"/>
          </a:solidFill>
          <a:ln>
            <a:noFill/>
          </a:ln>
          <a:effectLst/>
          <a:sp3d/>
        </c:spPr>
      </c:pivotFmt>
      <c:pivotFmt>
        <c:idx val="96"/>
        <c:spPr>
          <a:solidFill>
            <a:schemeClr val="accent1"/>
          </a:solidFill>
          <a:ln>
            <a:noFill/>
          </a:ln>
          <a:effectLst/>
          <a:sp3d/>
        </c:spPr>
      </c:pivotFmt>
      <c:pivotFmt>
        <c:idx val="97"/>
        <c:spPr>
          <a:solidFill>
            <a:schemeClr val="accent1"/>
          </a:solidFill>
          <a:ln>
            <a:noFill/>
          </a:ln>
          <a:effectLst/>
          <a:sp3d/>
        </c:spPr>
      </c:pivotFmt>
      <c:pivotFmt>
        <c:idx val="98"/>
        <c:spPr>
          <a:solidFill>
            <a:schemeClr val="accent1"/>
          </a:solidFill>
          <a:ln>
            <a:noFill/>
          </a:ln>
          <a:effectLst/>
          <a:sp3d/>
        </c:spPr>
      </c:pivotFmt>
      <c:pivotFmt>
        <c:idx val="99"/>
        <c:spPr>
          <a:solidFill>
            <a:schemeClr val="accent1"/>
          </a:solidFill>
          <a:ln>
            <a:noFill/>
          </a:ln>
          <a:effectLst/>
          <a:sp3d/>
        </c:spPr>
      </c:pivotFmt>
      <c:pivotFmt>
        <c:idx val="100"/>
        <c:spPr>
          <a:solidFill>
            <a:schemeClr val="accent1"/>
          </a:solidFill>
          <a:ln>
            <a:noFill/>
          </a:ln>
          <a:effectLst/>
          <a:sp3d/>
        </c:spPr>
      </c:pivotFmt>
      <c:pivotFmt>
        <c:idx val="101"/>
        <c:spPr>
          <a:solidFill>
            <a:schemeClr val="accent1"/>
          </a:solidFill>
          <a:ln>
            <a:noFill/>
          </a:ln>
          <a:effectLst/>
          <a:sp3d/>
        </c:spPr>
      </c:pivotFmt>
      <c:pivotFmt>
        <c:idx val="102"/>
        <c:spPr>
          <a:solidFill>
            <a:schemeClr val="accent1"/>
          </a:solidFill>
          <a:ln>
            <a:noFill/>
          </a:ln>
          <a:effectLst/>
          <a:sp3d/>
        </c:spPr>
      </c:pivotFmt>
      <c:pivotFmt>
        <c:idx val="103"/>
        <c:spPr>
          <a:solidFill>
            <a:schemeClr val="accent1"/>
          </a:solidFill>
          <a:ln>
            <a:noFill/>
          </a:ln>
          <a:effectLst/>
          <a:sp3d/>
        </c:spPr>
      </c:pivotFmt>
      <c:pivotFmt>
        <c:idx val="104"/>
        <c:spPr>
          <a:solidFill>
            <a:schemeClr val="accent1"/>
          </a:solidFill>
          <a:ln>
            <a:noFill/>
          </a:ln>
          <a:effectLst/>
          <a:sp3d/>
        </c:spPr>
      </c:pivotFmt>
      <c:pivotFmt>
        <c:idx val="105"/>
        <c:spPr>
          <a:solidFill>
            <a:schemeClr val="accent1"/>
          </a:solidFill>
          <a:ln>
            <a:noFill/>
          </a:ln>
          <a:effectLst/>
          <a:sp3d/>
        </c:spPr>
      </c:pivotFmt>
      <c:pivotFmt>
        <c:idx val="106"/>
        <c:spPr>
          <a:solidFill>
            <a:schemeClr val="accent1"/>
          </a:solidFill>
          <a:ln>
            <a:noFill/>
          </a:ln>
          <a:effectLst/>
          <a:sp3d/>
        </c:spPr>
      </c:pivotFmt>
      <c:pivotFmt>
        <c:idx val="107"/>
        <c:spPr>
          <a:solidFill>
            <a:schemeClr val="accent1"/>
          </a:solidFill>
          <a:ln>
            <a:noFill/>
          </a:ln>
          <a:effectLst/>
          <a:sp3d/>
        </c:spPr>
      </c:pivotFmt>
      <c:pivotFmt>
        <c:idx val="108"/>
        <c:spPr>
          <a:solidFill>
            <a:schemeClr val="accent1"/>
          </a:solidFill>
          <a:ln>
            <a:noFill/>
          </a:ln>
          <a:effectLst/>
          <a:sp3d/>
        </c:spPr>
      </c:pivotFmt>
      <c:pivotFmt>
        <c:idx val="109"/>
        <c:spPr>
          <a:solidFill>
            <a:schemeClr val="accent1"/>
          </a:solidFill>
          <a:ln>
            <a:noFill/>
          </a:ln>
          <a:effectLst/>
          <a:sp3d/>
        </c:spPr>
      </c:pivotFmt>
      <c:pivotFmt>
        <c:idx val="110"/>
        <c:spPr>
          <a:solidFill>
            <a:schemeClr val="accent1"/>
          </a:solidFill>
          <a:ln>
            <a:noFill/>
          </a:ln>
          <a:effectLst/>
          <a:sp3d/>
        </c:spPr>
      </c:pivotFmt>
      <c:pivotFmt>
        <c:idx val="111"/>
        <c:spPr>
          <a:solidFill>
            <a:schemeClr val="accent1"/>
          </a:solidFill>
          <a:ln>
            <a:noFill/>
          </a:ln>
          <a:effectLst/>
          <a:sp3d/>
        </c:spPr>
      </c:pivotFmt>
      <c:pivotFmt>
        <c:idx val="112"/>
        <c:spPr>
          <a:solidFill>
            <a:schemeClr val="accent1"/>
          </a:solidFill>
          <a:ln>
            <a:noFill/>
          </a:ln>
          <a:effectLst/>
          <a:sp3d/>
        </c:spPr>
      </c:pivotFmt>
      <c:pivotFmt>
        <c:idx val="113"/>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PPA!$B$150</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933-46B8-879A-421D07B71882}"/>
              </c:ext>
            </c:extLst>
          </c:dPt>
          <c:dPt>
            <c:idx val="1"/>
            <c:bubble3D val="0"/>
            <c:spPr>
              <a:solidFill>
                <a:schemeClr val="accent2"/>
              </a:solidFill>
              <a:ln>
                <a:noFill/>
              </a:ln>
              <a:effectLst/>
              <a:sp3d/>
            </c:spPr>
            <c:extLst>
              <c:ext xmlns:c16="http://schemas.microsoft.com/office/drawing/2014/chart" uri="{C3380CC4-5D6E-409C-BE32-E72D297353CC}">
                <c16:uniqueId val="{00000003-1933-46B8-879A-421D07B71882}"/>
              </c:ext>
            </c:extLst>
          </c:dPt>
          <c:dPt>
            <c:idx val="2"/>
            <c:bubble3D val="0"/>
            <c:spPr>
              <a:solidFill>
                <a:schemeClr val="accent3"/>
              </a:solidFill>
              <a:ln>
                <a:noFill/>
              </a:ln>
              <a:effectLst/>
              <a:sp3d/>
            </c:spPr>
            <c:extLst>
              <c:ext xmlns:c16="http://schemas.microsoft.com/office/drawing/2014/chart" uri="{C3380CC4-5D6E-409C-BE32-E72D297353CC}">
                <c16:uniqueId val="{00000005-1933-46B8-879A-421D07B71882}"/>
              </c:ext>
            </c:extLst>
          </c:dPt>
          <c:dPt>
            <c:idx val="3"/>
            <c:bubble3D val="0"/>
            <c:spPr>
              <a:solidFill>
                <a:schemeClr val="accent4"/>
              </a:solidFill>
              <a:ln>
                <a:noFill/>
              </a:ln>
              <a:effectLst/>
              <a:sp3d/>
            </c:spPr>
            <c:extLst>
              <c:ext xmlns:c16="http://schemas.microsoft.com/office/drawing/2014/chart" uri="{C3380CC4-5D6E-409C-BE32-E72D297353CC}">
                <c16:uniqueId val="{00000007-1933-46B8-879A-421D07B71882}"/>
              </c:ext>
            </c:extLst>
          </c:dPt>
          <c:dPt>
            <c:idx val="4"/>
            <c:bubble3D val="0"/>
            <c:spPr>
              <a:solidFill>
                <a:schemeClr val="accent5"/>
              </a:solidFill>
              <a:ln>
                <a:noFill/>
              </a:ln>
              <a:effectLst/>
              <a:sp3d/>
            </c:spPr>
            <c:extLst>
              <c:ext xmlns:c16="http://schemas.microsoft.com/office/drawing/2014/chart" uri="{C3380CC4-5D6E-409C-BE32-E72D297353CC}">
                <c16:uniqueId val="{00000009-1933-46B8-879A-421D07B71882}"/>
              </c:ext>
            </c:extLst>
          </c:dPt>
          <c:dPt>
            <c:idx val="5"/>
            <c:bubble3D val="0"/>
            <c:spPr>
              <a:solidFill>
                <a:schemeClr val="accent6"/>
              </a:solidFill>
              <a:ln>
                <a:noFill/>
              </a:ln>
              <a:effectLst/>
              <a:sp3d/>
            </c:spPr>
            <c:extLst>
              <c:ext xmlns:c16="http://schemas.microsoft.com/office/drawing/2014/chart" uri="{C3380CC4-5D6E-409C-BE32-E72D297353CC}">
                <c16:uniqueId val="{0000000B-1933-46B8-879A-421D07B71882}"/>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1933-46B8-879A-421D07B71882}"/>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1933-46B8-879A-421D07B71882}"/>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1933-46B8-879A-421D07B71882}"/>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1933-46B8-879A-421D07B71882}"/>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1933-46B8-879A-421D07B71882}"/>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1933-46B8-879A-421D07B71882}"/>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1933-46B8-879A-421D07B71882}"/>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1933-46B8-879A-421D07B7188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1933-46B8-879A-421D07B7188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1933-46B8-879A-421D07B7188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1933-46B8-879A-421D07B7188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1933-46B8-879A-421D07B71882}"/>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1933-46B8-879A-421D07B71882}"/>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1933-46B8-879A-421D07B71882}"/>
              </c:ext>
            </c:extLst>
          </c:dPt>
          <c:dPt>
            <c:idx val="20"/>
            <c:bubble3D val="0"/>
            <c:spPr>
              <a:solidFill>
                <a:schemeClr val="accent3">
                  <a:lumMod val="80000"/>
                </a:schemeClr>
              </a:solidFill>
              <a:ln>
                <a:noFill/>
              </a:ln>
              <a:effectLst/>
              <a:sp3d/>
            </c:spPr>
            <c:extLst>
              <c:ext xmlns:c16="http://schemas.microsoft.com/office/drawing/2014/chart" uri="{C3380CC4-5D6E-409C-BE32-E72D297353CC}">
                <c16:uniqueId val="{00000029-1933-46B8-879A-421D07B71882}"/>
              </c:ext>
            </c:extLst>
          </c:dPt>
          <c:dPt>
            <c:idx val="21"/>
            <c:bubble3D val="0"/>
            <c:spPr>
              <a:solidFill>
                <a:schemeClr val="accent4">
                  <a:lumMod val="80000"/>
                </a:schemeClr>
              </a:solidFill>
              <a:ln>
                <a:noFill/>
              </a:ln>
              <a:effectLst/>
              <a:sp3d/>
            </c:spPr>
            <c:extLst>
              <c:ext xmlns:c16="http://schemas.microsoft.com/office/drawing/2014/chart" uri="{C3380CC4-5D6E-409C-BE32-E72D297353CC}">
                <c16:uniqueId val="{0000002B-1933-46B8-879A-421D07B71882}"/>
              </c:ext>
            </c:extLst>
          </c:dPt>
          <c:dPt>
            <c:idx val="22"/>
            <c:bubble3D val="0"/>
            <c:spPr>
              <a:solidFill>
                <a:schemeClr val="accent5">
                  <a:lumMod val="80000"/>
                </a:schemeClr>
              </a:solidFill>
              <a:ln>
                <a:noFill/>
              </a:ln>
              <a:effectLst/>
              <a:sp3d/>
            </c:spPr>
            <c:extLst>
              <c:ext xmlns:c16="http://schemas.microsoft.com/office/drawing/2014/chart" uri="{C3380CC4-5D6E-409C-BE32-E72D297353CC}">
                <c16:uniqueId val="{0000002D-1933-46B8-879A-421D07B71882}"/>
              </c:ext>
            </c:extLst>
          </c:dPt>
          <c:dPt>
            <c:idx val="23"/>
            <c:bubble3D val="0"/>
            <c:spPr>
              <a:solidFill>
                <a:schemeClr val="accent6">
                  <a:lumMod val="80000"/>
                </a:schemeClr>
              </a:solidFill>
              <a:ln>
                <a:noFill/>
              </a:ln>
              <a:effectLst/>
              <a:sp3d/>
            </c:spPr>
            <c:extLst>
              <c:ext xmlns:c16="http://schemas.microsoft.com/office/drawing/2014/chart" uri="{C3380CC4-5D6E-409C-BE32-E72D297353CC}">
                <c16:uniqueId val="{0000002F-1933-46B8-879A-421D07B71882}"/>
              </c:ext>
            </c:extLst>
          </c:dPt>
          <c:dPt>
            <c:idx val="24"/>
            <c:bubble3D val="0"/>
            <c:spPr>
              <a:solidFill>
                <a:schemeClr val="accent1">
                  <a:lumMod val="60000"/>
                  <a:lumOff val="40000"/>
                </a:schemeClr>
              </a:solidFill>
              <a:ln>
                <a:noFill/>
              </a:ln>
              <a:effectLst/>
              <a:sp3d/>
            </c:spPr>
            <c:extLst>
              <c:ext xmlns:c16="http://schemas.microsoft.com/office/drawing/2014/chart" uri="{C3380CC4-5D6E-409C-BE32-E72D297353CC}">
                <c16:uniqueId val="{00000031-1933-46B8-879A-421D07B71882}"/>
              </c:ext>
            </c:extLst>
          </c:dPt>
          <c:dPt>
            <c:idx val="25"/>
            <c:bubble3D val="0"/>
            <c:spPr>
              <a:solidFill>
                <a:schemeClr val="accent2">
                  <a:lumMod val="60000"/>
                  <a:lumOff val="40000"/>
                </a:schemeClr>
              </a:solidFill>
              <a:ln>
                <a:noFill/>
              </a:ln>
              <a:effectLst/>
              <a:sp3d/>
            </c:spPr>
            <c:extLst>
              <c:ext xmlns:c16="http://schemas.microsoft.com/office/drawing/2014/chart" uri="{C3380CC4-5D6E-409C-BE32-E72D297353CC}">
                <c16:uniqueId val="{00000033-1933-46B8-879A-421D07B71882}"/>
              </c:ext>
            </c:extLst>
          </c:dPt>
          <c:dPt>
            <c:idx val="26"/>
            <c:bubble3D val="0"/>
            <c:spPr>
              <a:solidFill>
                <a:schemeClr val="accent3">
                  <a:lumMod val="60000"/>
                  <a:lumOff val="40000"/>
                </a:schemeClr>
              </a:solidFill>
              <a:ln>
                <a:noFill/>
              </a:ln>
              <a:effectLst/>
              <a:sp3d/>
            </c:spPr>
            <c:extLst>
              <c:ext xmlns:c16="http://schemas.microsoft.com/office/drawing/2014/chart" uri="{C3380CC4-5D6E-409C-BE32-E72D297353CC}">
                <c16:uniqueId val="{00000035-1933-46B8-879A-421D07B71882}"/>
              </c:ext>
            </c:extLst>
          </c:dPt>
          <c:dPt>
            <c:idx val="27"/>
            <c:bubble3D val="0"/>
            <c:spPr>
              <a:solidFill>
                <a:schemeClr val="accent4">
                  <a:lumMod val="60000"/>
                  <a:lumOff val="40000"/>
                </a:schemeClr>
              </a:solidFill>
              <a:ln>
                <a:noFill/>
              </a:ln>
              <a:effectLst/>
              <a:sp3d/>
            </c:spPr>
            <c:extLst>
              <c:ext xmlns:c16="http://schemas.microsoft.com/office/drawing/2014/chart" uri="{C3380CC4-5D6E-409C-BE32-E72D297353CC}">
                <c16:uniqueId val="{00000037-1933-46B8-879A-421D07B71882}"/>
              </c:ext>
            </c:extLst>
          </c:dPt>
          <c:dPt>
            <c:idx val="28"/>
            <c:bubble3D val="0"/>
            <c:spPr>
              <a:solidFill>
                <a:schemeClr val="accent5">
                  <a:lumMod val="60000"/>
                  <a:lumOff val="40000"/>
                </a:schemeClr>
              </a:solidFill>
              <a:ln>
                <a:noFill/>
              </a:ln>
              <a:effectLst/>
              <a:sp3d/>
            </c:spPr>
            <c:extLst>
              <c:ext xmlns:c16="http://schemas.microsoft.com/office/drawing/2014/chart" uri="{C3380CC4-5D6E-409C-BE32-E72D297353CC}">
                <c16:uniqueId val="{00000039-1933-46B8-879A-421D07B71882}"/>
              </c:ext>
            </c:extLst>
          </c:dPt>
          <c:dPt>
            <c:idx val="29"/>
            <c:bubble3D val="0"/>
            <c:spPr>
              <a:solidFill>
                <a:schemeClr val="accent6">
                  <a:lumMod val="60000"/>
                  <a:lumOff val="40000"/>
                </a:schemeClr>
              </a:solidFill>
              <a:ln>
                <a:noFill/>
              </a:ln>
              <a:effectLst/>
              <a:sp3d/>
            </c:spPr>
            <c:extLst>
              <c:ext xmlns:c16="http://schemas.microsoft.com/office/drawing/2014/chart" uri="{C3380CC4-5D6E-409C-BE32-E72D297353CC}">
                <c16:uniqueId val="{0000003B-1933-46B8-879A-421D07B71882}"/>
              </c:ext>
            </c:extLst>
          </c:dPt>
          <c:dPt>
            <c:idx val="30"/>
            <c:bubble3D val="0"/>
            <c:spPr>
              <a:solidFill>
                <a:schemeClr val="accent1">
                  <a:lumMod val="50000"/>
                </a:schemeClr>
              </a:solidFill>
              <a:ln>
                <a:noFill/>
              </a:ln>
              <a:effectLst/>
              <a:sp3d/>
            </c:spPr>
            <c:extLst>
              <c:ext xmlns:c16="http://schemas.microsoft.com/office/drawing/2014/chart" uri="{C3380CC4-5D6E-409C-BE32-E72D297353CC}">
                <c16:uniqueId val="{0000003D-1933-46B8-879A-421D07B71882}"/>
              </c:ext>
            </c:extLst>
          </c:dPt>
          <c:dPt>
            <c:idx val="31"/>
            <c:bubble3D val="0"/>
            <c:spPr>
              <a:solidFill>
                <a:schemeClr val="accent2">
                  <a:lumMod val="50000"/>
                </a:schemeClr>
              </a:solidFill>
              <a:ln>
                <a:noFill/>
              </a:ln>
              <a:effectLst/>
              <a:sp3d/>
            </c:spPr>
            <c:extLst>
              <c:ext xmlns:c16="http://schemas.microsoft.com/office/drawing/2014/chart" uri="{C3380CC4-5D6E-409C-BE32-E72D297353CC}">
                <c16:uniqueId val="{0000003F-1933-46B8-879A-421D07B71882}"/>
              </c:ext>
            </c:extLst>
          </c:dPt>
          <c:dPt>
            <c:idx val="32"/>
            <c:bubble3D val="0"/>
            <c:spPr>
              <a:solidFill>
                <a:schemeClr val="accent3">
                  <a:lumMod val="50000"/>
                </a:schemeClr>
              </a:solidFill>
              <a:ln>
                <a:noFill/>
              </a:ln>
              <a:effectLst/>
              <a:sp3d/>
            </c:spPr>
            <c:extLst>
              <c:ext xmlns:c16="http://schemas.microsoft.com/office/drawing/2014/chart" uri="{C3380CC4-5D6E-409C-BE32-E72D297353CC}">
                <c16:uniqueId val="{00000041-1933-46B8-879A-421D07B71882}"/>
              </c:ext>
            </c:extLst>
          </c:dPt>
          <c:dPt>
            <c:idx val="33"/>
            <c:bubble3D val="0"/>
            <c:spPr>
              <a:solidFill>
                <a:schemeClr val="accent4">
                  <a:lumMod val="50000"/>
                </a:schemeClr>
              </a:solidFill>
              <a:ln>
                <a:noFill/>
              </a:ln>
              <a:effectLst/>
              <a:sp3d/>
            </c:spPr>
            <c:extLst>
              <c:ext xmlns:c16="http://schemas.microsoft.com/office/drawing/2014/chart" uri="{C3380CC4-5D6E-409C-BE32-E72D297353CC}">
                <c16:uniqueId val="{00000043-1933-46B8-879A-421D07B71882}"/>
              </c:ext>
            </c:extLst>
          </c:dPt>
          <c:dPt>
            <c:idx val="34"/>
            <c:bubble3D val="0"/>
            <c:spPr>
              <a:solidFill>
                <a:schemeClr val="accent5">
                  <a:lumMod val="50000"/>
                </a:schemeClr>
              </a:solidFill>
              <a:ln>
                <a:noFill/>
              </a:ln>
              <a:effectLst/>
              <a:sp3d/>
            </c:spPr>
            <c:extLst>
              <c:ext xmlns:c16="http://schemas.microsoft.com/office/drawing/2014/chart" uri="{C3380CC4-5D6E-409C-BE32-E72D297353CC}">
                <c16:uniqueId val="{00000045-1933-46B8-879A-421D07B71882}"/>
              </c:ext>
            </c:extLst>
          </c:dPt>
          <c:dPt>
            <c:idx val="35"/>
            <c:bubble3D val="0"/>
            <c:spPr>
              <a:solidFill>
                <a:schemeClr val="accent6">
                  <a:lumMod val="50000"/>
                </a:schemeClr>
              </a:solidFill>
              <a:ln>
                <a:noFill/>
              </a:ln>
              <a:effectLst/>
              <a:sp3d/>
            </c:spPr>
            <c:extLst>
              <c:ext xmlns:c16="http://schemas.microsoft.com/office/drawing/2014/chart" uri="{C3380CC4-5D6E-409C-BE32-E72D297353CC}">
                <c16:uniqueId val="{00000047-1933-46B8-879A-421D07B71882}"/>
              </c:ext>
            </c:extLst>
          </c:dPt>
          <c:dPt>
            <c:idx val="36"/>
            <c:bubble3D val="0"/>
            <c:spPr>
              <a:solidFill>
                <a:schemeClr val="accent1">
                  <a:lumMod val="70000"/>
                  <a:lumOff val="30000"/>
                </a:schemeClr>
              </a:solidFill>
              <a:ln>
                <a:noFill/>
              </a:ln>
              <a:effectLst/>
              <a:sp3d/>
            </c:spPr>
            <c:extLst>
              <c:ext xmlns:c16="http://schemas.microsoft.com/office/drawing/2014/chart" uri="{C3380CC4-5D6E-409C-BE32-E72D297353CC}">
                <c16:uniqueId val="{00000049-1933-46B8-879A-421D07B71882}"/>
              </c:ext>
            </c:extLst>
          </c:dPt>
          <c:dPt>
            <c:idx val="37"/>
            <c:bubble3D val="0"/>
            <c:spPr>
              <a:solidFill>
                <a:schemeClr val="accent2">
                  <a:lumMod val="70000"/>
                  <a:lumOff val="30000"/>
                </a:schemeClr>
              </a:solidFill>
              <a:ln>
                <a:noFill/>
              </a:ln>
              <a:effectLst/>
              <a:sp3d/>
            </c:spPr>
            <c:extLst>
              <c:ext xmlns:c16="http://schemas.microsoft.com/office/drawing/2014/chart" uri="{C3380CC4-5D6E-409C-BE32-E72D297353CC}">
                <c16:uniqueId val="{0000004B-1933-46B8-879A-421D07B71882}"/>
              </c:ext>
            </c:extLst>
          </c:dPt>
          <c:dPt>
            <c:idx val="38"/>
            <c:bubble3D val="0"/>
            <c:spPr>
              <a:solidFill>
                <a:schemeClr val="accent3">
                  <a:lumMod val="70000"/>
                  <a:lumOff val="30000"/>
                </a:schemeClr>
              </a:solidFill>
              <a:ln>
                <a:noFill/>
              </a:ln>
              <a:effectLst/>
              <a:sp3d/>
            </c:spPr>
            <c:extLst>
              <c:ext xmlns:c16="http://schemas.microsoft.com/office/drawing/2014/chart" uri="{C3380CC4-5D6E-409C-BE32-E72D297353CC}">
                <c16:uniqueId val="{0000004D-1933-46B8-879A-421D07B71882}"/>
              </c:ext>
            </c:extLst>
          </c:dPt>
          <c:dPt>
            <c:idx val="39"/>
            <c:bubble3D val="0"/>
            <c:spPr>
              <a:solidFill>
                <a:schemeClr val="accent4">
                  <a:lumMod val="70000"/>
                  <a:lumOff val="30000"/>
                </a:schemeClr>
              </a:solidFill>
              <a:ln>
                <a:noFill/>
              </a:ln>
              <a:effectLst/>
              <a:sp3d/>
            </c:spPr>
            <c:extLst>
              <c:ext xmlns:c16="http://schemas.microsoft.com/office/drawing/2014/chart" uri="{C3380CC4-5D6E-409C-BE32-E72D297353CC}">
                <c16:uniqueId val="{0000004F-1933-46B8-879A-421D07B71882}"/>
              </c:ext>
            </c:extLst>
          </c:dPt>
          <c:dPt>
            <c:idx val="40"/>
            <c:bubble3D val="0"/>
            <c:spPr>
              <a:solidFill>
                <a:schemeClr val="accent5">
                  <a:lumMod val="70000"/>
                  <a:lumOff val="30000"/>
                </a:schemeClr>
              </a:solidFill>
              <a:ln>
                <a:noFill/>
              </a:ln>
              <a:effectLst/>
              <a:sp3d/>
            </c:spPr>
            <c:extLst>
              <c:ext xmlns:c16="http://schemas.microsoft.com/office/drawing/2014/chart" uri="{C3380CC4-5D6E-409C-BE32-E72D297353CC}">
                <c16:uniqueId val="{00000051-1933-46B8-879A-421D07B71882}"/>
              </c:ext>
            </c:extLst>
          </c:dPt>
          <c:dPt>
            <c:idx val="41"/>
            <c:bubble3D val="0"/>
            <c:spPr>
              <a:solidFill>
                <a:schemeClr val="accent6">
                  <a:lumMod val="70000"/>
                  <a:lumOff val="30000"/>
                </a:schemeClr>
              </a:solidFill>
              <a:ln>
                <a:noFill/>
              </a:ln>
              <a:effectLst/>
              <a:sp3d/>
            </c:spPr>
            <c:extLst>
              <c:ext xmlns:c16="http://schemas.microsoft.com/office/drawing/2014/chart" uri="{C3380CC4-5D6E-409C-BE32-E72D297353CC}">
                <c16:uniqueId val="{00000053-1933-46B8-879A-421D07B71882}"/>
              </c:ext>
            </c:extLst>
          </c:dPt>
          <c:dPt>
            <c:idx val="42"/>
            <c:bubble3D val="0"/>
            <c:spPr>
              <a:solidFill>
                <a:schemeClr val="accent1">
                  <a:lumMod val="70000"/>
                </a:schemeClr>
              </a:solidFill>
              <a:ln>
                <a:noFill/>
              </a:ln>
              <a:effectLst/>
              <a:sp3d/>
            </c:spPr>
            <c:extLst>
              <c:ext xmlns:c16="http://schemas.microsoft.com/office/drawing/2014/chart" uri="{C3380CC4-5D6E-409C-BE32-E72D297353CC}">
                <c16:uniqueId val="{00000055-1933-46B8-879A-421D07B71882}"/>
              </c:ext>
            </c:extLst>
          </c:dPt>
          <c:dPt>
            <c:idx val="43"/>
            <c:bubble3D val="0"/>
            <c:spPr>
              <a:solidFill>
                <a:schemeClr val="accent2">
                  <a:lumMod val="70000"/>
                </a:schemeClr>
              </a:solidFill>
              <a:ln>
                <a:noFill/>
              </a:ln>
              <a:effectLst/>
              <a:sp3d/>
            </c:spPr>
            <c:extLst>
              <c:ext xmlns:c16="http://schemas.microsoft.com/office/drawing/2014/chart" uri="{C3380CC4-5D6E-409C-BE32-E72D297353CC}">
                <c16:uniqueId val="{00000057-1933-46B8-879A-421D07B71882}"/>
              </c:ext>
            </c:extLst>
          </c:dPt>
          <c:dPt>
            <c:idx val="44"/>
            <c:bubble3D val="0"/>
            <c:spPr>
              <a:solidFill>
                <a:schemeClr val="accent3">
                  <a:lumMod val="70000"/>
                </a:schemeClr>
              </a:solidFill>
              <a:ln>
                <a:noFill/>
              </a:ln>
              <a:effectLst/>
              <a:sp3d/>
            </c:spPr>
            <c:extLst>
              <c:ext xmlns:c16="http://schemas.microsoft.com/office/drawing/2014/chart" uri="{C3380CC4-5D6E-409C-BE32-E72D297353CC}">
                <c16:uniqueId val="{00000059-1933-46B8-879A-421D07B71882}"/>
              </c:ext>
            </c:extLst>
          </c:dPt>
          <c:dPt>
            <c:idx val="45"/>
            <c:bubble3D val="0"/>
            <c:spPr>
              <a:solidFill>
                <a:schemeClr val="accent4">
                  <a:lumMod val="70000"/>
                </a:schemeClr>
              </a:solidFill>
              <a:ln>
                <a:noFill/>
              </a:ln>
              <a:effectLst/>
              <a:sp3d/>
            </c:spPr>
            <c:extLst>
              <c:ext xmlns:c16="http://schemas.microsoft.com/office/drawing/2014/chart" uri="{C3380CC4-5D6E-409C-BE32-E72D297353CC}">
                <c16:uniqueId val="{0000005B-1933-46B8-879A-421D07B71882}"/>
              </c:ext>
            </c:extLst>
          </c:dPt>
          <c:dPt>
            <c:idx val="46"/>
            <c:bubble3D val="0"/>
            <c:spPr>
              <a:solidFill>
                <a:schemeClr val="accent5">
                  <a:lumMod val="70000"/>
                </a:schemeClr>
              </a:solidFill>
              <a:ln>
                <a:noFill/>
              </a:ln>
              <a:effectLst/>
              <a:sp3d/>
            </c:spPr>
            <c:extLst>
              <c:ext xmlns:c16="http://schemas.microsoft.com/office/drawing/2014/chart" uri="{C3380CC4-5D6E-409C-BE32-E72D297353CC}">
                <c16:uniqueId val="{0000005D-1933-46B8-879A-421D07B71882}"/>
              </c:ext>
            </c:extLst>
          </c:dPt>
          <c:dPt>
            <c:idx val="47"/>
            <c:bubble3D val="0"/>
            <c:spPr>
              <a:solidFill>
                <a:schemeClr val="accent6">
                  <a:lumMod val="70000"/>
                </a:schemeClr>
              </a:solidFill>
              <a:ln>
                <a:noFill/>
              </a:ln>
              <a:effectLst/>
              <a:sp3d/>
            </c:spPr>
            <c:extLst>
              <c:ext xmlns:c16="http://schemas.microsoft.com/office/drawing/2014/chart" uri="{C3380CC4-5D6E-409C-BE32-E72D297353CC}">
                <c16:uniqueId val="{0000005F-1933-46B8-879A-421D07B71882}"/>
              </c:ext>
            </c:extLst>
          </c:dPt>
          <c:dPt>
            <c:idx val="48"/>
            <c:bubble3D val="0"/>
            <c:spPr>
              <a:solidFill>
                <a:schemeClr val="accent1">
                  <a:lumMod val="50000"/>
                  <a:lumOff val="50000"/>
                </a:schemeClr>
              </a:solidFill>
              <a:ln>
                <a:noFill/>
              </a:ln>
              <a:effectLst/>
              <a:sp3d/>
            </c:spPr>
            <c:extLst>
              <c:ext xmlns:c16="http://schemas.microsoft.com/office/drawing/2014/chart" uri="{C3380CC4-5D6E-409C-BE32-E72D297353CC}">
                <c16:uniqueId val="{00000061-1933-46B8-879A-421D07B71882}"/>
              </c:ext>
            </c:extLst>
          </c:dPt>
          <c:dPt>
            <c:idx val="49"/>
            <c:bubble3D val="0"/>
            <c:spPr>
              <a:solidFill>
                <a:schemeClr val="accent2">
                  <a:lumMod val="50000"/>
                  <a:lumOff val="50000"/>
                </a:schemeClr>
              </a:solidFill>
              <a:ln>
                <a:noFill/>
              </a:ln>
              <a:effectLst/>
              <a:sp3d/>
            </c:spPr>
            <c:extLst>
              <c:ext xmlns:c16="http://schemas.microsoft.com/office/drawing/2014/chart" uri="{C3380CC4-5D6E-409C-BE32-E72D297353CC}">
                <c16:uniqueId val="{00000063-1933-46B8-879A-421D07B71882}"/>
              </c:ext>
            </c:extLst>
          </c:dPt>
          <c:dPt>
            <c:idx val="50"/>
            <c:bubble3D val="0"/>
            <c:spPr>
              <a:solidFill>
                <a:schemeClr val="accent3">
                  <a:lumMod val="50000"/>
                  <a:lumOff val="50000"/>
                </a:schemeClr>
              </a:solidFill>
              <a:ln>
                <a:noFill/>
              </a:ln>
              <a:effectLst/>
              <a:sp3d/>
            </c:spPr>
            <c:extLst>
              <c:ext xmlns:c16="http://schemas.microsoft.com/office/drawing/2014/chart" uri="{C3380CC4-5D6E-409C-BE32-E72D297353CC}">
                <c16:uniqueId val="{00000065-1933-46B8-879A-421D07B71882}"/>
              </c:ext>
            </c:extLst>
          </c:dPt>
          <c:dPt>
            <c:idx val="51"/>
            <c:bubble3D val="0"/>
            <c:spPr>
              <a:solidFill>
                <a:schemeClr val="accent4">
                  <a:lumMod val="50000"/>
                  <a:lumOff val="50000"/>
                </a:schemeClr>
              </a:solidFill>
              <a:ln>
                <a:noFill/>
              </a:ln>
              <a:effectLst/>
              <a:sp3d/>
            </c:spPr>
            <c:extLst>
              <c:ext xmlns:c16="http://schemas.microsoft.com/office/drawing/2014/chart" uri="{C3380CC4-5D6E-409C-BE32-E72D297353CC}">
                <c16:uniqueId val="{00000067-1933-46B8-879A-421D07B71882}"/>
              </c:ext>
            </c:extLst>
          </c:dPt>
          <c:dPt>
            <c:idx val="52"/>
            <c:bubble3D val="0"/>
            <c:spPr>
              <a:solidFill>
                <a:schemeClr val="accent5">
                  <a:lumMod val="50000"/>
                  <a:lumOff val="50000"/>
                </a:schemeClr>
              </a:solidFill>
              <a:ln>
                <a:noFill/>
              </a:ln>
              <a:effectLst/>
              <a:sp3d/>
            </c:spPr>
            <c:extLst>
              <c:ext xmlns:c16="http://schemas.microsoft.com/office/drawing/2014/chart" uri="{C3380CC4-5D6E-409C-BE32-E72D297353CC}">
                <c16:uniqueId val="{00000069-1933-46B8-879A-421D07B71882}"/>
              </c:ext>
            </c:extLst>
          </c:dPt>
          <c:dPt>
            <c:idx val="53"/>
            <c:bubble3D val="0"/>
            <c:spPr>
              <a:solidFill>
                <a:schemeClr val="accent6">
                  <a:lumMod val="50000"/>
                  <a:lumOff val="50000"/>
                </a:schemeClr>
              </a:solidFill>
              <a:ln>
                <a:noFill/>
              </a:ln>
              <a:effectLst/>
              <a:sp3d/>
            </c:spPr>
            <c:extLst>
              <c:ext xmlns:c16="http://schemas.microsoft.com/office/drawing/2014/chart" uri="{C3380CC4-5D6E-409C-BE32-E72D297353CC}">
                <c16:uniqueId val="{0000006B-1933-46B8-879A-421D07B71882}"/>
              </c:ext>
            </c:extLst>
          </c:dPt>
          <c:dPt>
            <c:idx val="54"/>
            <c:bubble3D val="0"/>
            <c:spPr>
              <a:solidFill>
                <a:schemeClr val="accent1"/>
              </a:solidFill>
              <a:ln>
                <a:noFill/>
              </a:ln>
              <a:effectLst/>
              <a:sp3d/>
            </c:spPr>
            <c:extLst>
              <c:ext xmlns:c16="http://schemas.microsoft.com/office/drawing/2014/chart" uri="{C3380CC4-5D6E-409C-BE32-E72D297353CC}">
                <c16:uniqueId val="{0000006D-1933-46B8-879A-421D07B71882}"/>
              </c:ext>
            </c:extLst>
          </c:dPt>
          <c:dPt>
            <c:idx val="55"/>
            <c:bubble3D val="0"/>
            <c:spPr>
              <a:solidFill>
                <a:schemeClr val="accent2"/>
              </a:solidFill>
              <a:ln>
                <a:noFill/>
              </a:ln>
              <a:effectLst/>
              <a:sp3d/>
            </c:spPr>
            <c:extLst>
              <c:ext xmlns:c16="http://schemas.microsoft.com/office/drawing/2014/chart" uri="{C3380CC4-5D6E-409C-BE32-E72D297353CC}">
                <c16:uniqueId val="{0000006F-1933-46B8-879A-421D07B71882}"/>
              </c:ext>
            </c:extLst>
          </c:dPt>
          <c:dPt>
            <c:idx val="56"/>
            <c:bubble3D val="0"/>
            <c:spPr>
              <a:solidFill>
                <a:schemeClr val="accent3"/>
              </a:solidFill>
              <a:ln>
                <a:noFill/>
              </a:ln>
              <a:effectLst/>
              <a:sp3d/>
            </c:spPr>
            <c:extLst>
              <c:ext xmlns:c16="http://schemas.microsoft.com/office/drawing/2014/chart" uri="{C3380CC4-5D6E-409C-BE32-E72D297353CC}">
                <c16:uniqueId val="{00000071-1933-46B8-879A-421D07B71882}"/>
              </c:ext>
            </c:extLst>
          </c:dPt>
          <c:dPt>
            <c:idx val="57"/>
            <c:bubble3D val="0"/>
            <c:spPr>
              <a:solidFill>
                <a:schemeClr val="accent4"/>
              </a:solidFill>
              <a:ln>
                <a:noFill/>
              </a:ln>
              <a:effectLst/>
              <a:sp3d/>
            </c:spPr>
            <c:extLst>
              <c:ext xmlns:c16="http://schemas.microsoft.com/office/drawing/2014/chart" uri="{C3380CC4-5D6E-409C-BE32-E72D297353CC}">
                <c16:uniqueId val="{00000073-1933-46B8-879A-421D07B71882}"/>
              </c:ext>
            </c:extLst>
          </c:dPt>
          <c:dPt>
            <c:idx val="58"/>
            <c:bubble3D val="0"/>
            <c:spPr>
              <a:solidFill>
                <a:schemeClr val="accent5"/>
              </a:solidFill>
              <a:ln>
                <a:noFill/>
              </a:ln>
              <a:effectLst/>
              <a:sp3d/>
            </c:spPr>
            <c:extLst>
              <c:ext xmlns:c16="http://schemas.microsoft.com/office/drawing/2014/chart" uri="{C3380CC4-5D6E-409C-BE32-E72D297353CC}">
                <c16:uniqueId val="{00000075-1933-46B8-879A-421D07B71882}"/>
              </c:ext>
            </c:extLst>
          </c:dPt>
          <c:dPt>
            <c:idx val="59"/>
            <c:bubble3D val="0"/>
            <c:spPr>
              <a:solidFill>
                <a:schemeClr val="accent6"/>
              </a:solidFill>
              <a:ln>
                <a:noFill/>
              </a:ln>
              <a:effectLst/>
              <a:sp3d/>
            </c:spPr>
            <c:extLst>
              <c:ext xmlns:c16="http://schemas.microsoft.com/office/drawing/2014/chart" uri="{C3380CC4-5D6E-409C-BE32-E72D297353CC}">
                <c16:uniqueId val="{00000077-1933-46B8-879A-421D07B71882}"/>
              </c:ext>
            </c:extLst>
          </c:dPt>
          <c:dPt>
            <c:idx val="60"/>
            <c:bubble3D val="0"/>
            <c:spPr>
              <a:solidFill>
                <a:schemeClr val="accent1">
                  <a:lumMod val="60000"/>
                </a:schemeClr>
              </a:solidFill>
              <a:ln>
                <a:noFill/>
              </a:ln>
              <a:effectLst/>
              <a:sp3d/>
            </c:spPr>
            <c:extLst>
              <c:ext xmlns:c16="http://schemas.microsoft.com/office/drawing/2014/chart" uri="{C3380CC4-5D6E-409C-BE32-E72D297353CC}">
                <c16:uniqueId val="{00000079-1933-46B8-879A-421D07B71882}"/>
              </c:ext>
            </c:extLst>
          </c:dPt>
          <c:dPt>
            <c:idx val="61"/>
            <c:bubble3D val="0"/>
            <c:spPr>
              <a:solidFill>
                <a:schemeClr val="accent2">
                  <a:lumMod val="60000"/>
                </a:schemeClr>
              </a:solidFill>
              <a:ln>
                <a:noFill/>
              </a:ln>
              <a:effectLst/>
              <a:sp3d/>
            </c:spPr>
            <c:extLst>
              <c:ext xmlns:c16="http://schemas.microsoft.com/office/drawing/2014/chart" uri="{C3380CC4-5D6E-409C-BE32-E72D297353CC}">
                <c16:uniqueId val="{0000007B-1933-46B8-879A-421D07B71882}"/>
              </c:ext>
            </c:extLst>
          </c:dPt>
          <c:dPt>
            <c:idx val="62"/>
            <c:bubble3D val="0"/>
            <c:spPr>
              <a:solidFill>
                <a:schemeClr val="accent3">
                  <a:lumMod val="60000"/>
                </a:schemeClr>
              </a:solidFill>
              <a:ln>
                <a:noFill/>
              </a:ln>
              <a:effectLst/>
              <a:sp3d/>
            </c:spPr>
            <c:extLst>
              <c:ext xmlns:c16="http://schemas.microsoft.com/office/drawing/2014/chart" uri="{C3380CC4-5D6E-409C-BE32-E72D297353CC}">
                <c16:uniqueId val="{0000007D-1933-46B8-879A-421D07B71882}"/>
              </c:ext>
            </c:extLst>
          </c:dPt>
          <c:dPt>
            <c:idx val="63"/>
            <c:bubble3D val="0"/>
            <c:spPr>
              <a:solidFill>
                <a:schemeClr val="accent4">
                  <a:lumMod val="60000"/>
                </a:schemeClr>
              </a:solidFill>
              <a:ln>
                <a:noFill/>
              </a:ln>
              <a:effectLst/>
              <a:sp3d/>
            </c:spPr>
            <c:extLst>
              <c:ext xmlns:c16="http://schemas.microsoft.com/office/drawing/2014/chart" uri="{C3380CC4-5D6E-409C-BE32-E72D297353CC}">
                <c16:uniqueId val="{0000007F-1933-46B8-879A-421D07B71882}"/>
              </c:ext>
            </c:extLst>
          </c:dPt>
          <c:dPt>
            <c:idx val="64"/>
            <c:bubble3D val="0"/>
            <c:spPr>
              <a:solidFill>
                <a:schemeClr val="accent5">
                  <a:lumMod val="60000"/>
                </a:schemeClr>
              </a:solidFill>
              <a:ln>
                <a:noFill/>
              </a:ln>
              <a:effectLst/>
              <a:sp3d/>
            </c:spPr>
            <c:extLst>
              <c:ext xmlns:c16="http://schemas.microsoft.com/office/drawing/2014/chart" uri="{C3380CC4-5D6E-409C-BE32-E72D297353CC}">
                <c16:uniqueId val="{00000081-1933-46B8-879A-421D07B71882}"/>
              </c:ext>
            </c:extLst>
          </c:dPt>
          <c:dPt>
            <c:idx val="65"/>
            <c:bubble3D val="0"/>
            <c:spPr>
              <a:solidFill>
                <a:schemeClr val="accent6">
                  <a:lumMod val="60000"/>
                </a:schemeClr>
              </a:solidFill>
              <a:ln>
                <a:noFill/>
              </a:ln>
              <a:effectLst/>
              <a:sp3d/>
            </c:spPr>
            <c:extLst>
              <c:ext xmlns:c16="http://schemas.microsoft.com/office/drawing/2014/chart" uri="{C3380CC4-5D6E-409C-BE32-E72D297353CC}">
                <c16:uniqueId val="{00000083-1933-46B8-879A-421D07B71882}"/>
              </c:ext>
            </c:extLst>
          </c:dPt>
          <c:dPt>
            <c:idx val="66"/>
            <c:bubble3D val="0"/>
            <c:spPr>
              <a:solidFill>
                <a:schemeClr val="accent1">
                  <a:lumMod val="80000"/>
                  <a:lumOff val="20000"/>
                </a:schemeClr>
              </a:solidFill>
              <a:ln>
                <a:noFill/>
              </a:ln>
              <a:effectLst/>
              <a:sp3d/>
            </c:spPr>
            <c:extLst>
              <c:ext xmlns:c16="http://schemas.microsoft.com/office/drawing/2014/chart" uri="{C3380CC4-5D6E-409C-BE32-E72D297353CC}">
                <c16:uniqueId val="{00000085-1933-46B8-879A-421D07B71882}"/>
              </c:ext>
            </c:extLst>
          </c:dPt>
          <c:dPt>
            <c:idx val="67"/>
            <c:bubble3D val="0"/>
            <c:spPr>
              <a:solidFill>
                <a:schemeClr val="accent2">
                  <a:lumMod val="80000"/>
                  <a:lumOff val="20000"/>
                </a:schemeClr>
              </a:solidFill>
              <a:ln>
                <a:noFill/>
              </a:ln>
              <a:effectLst/>
              <a:sp3d/>
            </c:spPr>
            <c:extLst>
              <c:ext xmlns:c16="http://schemas.microsoft.com/office/drawing/2014/chart" uri="{C3380CC4-5D6E-409C-BE32-E72D297353CC}">
                <c16:uniqueId val="{00000087-1933-46B8-879A-421D07B71882}"/>
              </c:ext>
            </c:extLst>
          </c:dPt>
          <c:dPt>
            <c:idx val="68"/>
            <c:bubble3D val="0"/>
            <c:spPr>
              <a:solidFill>
                <a:schemeClr val="accent3">
                  <a:lumMod val="80000"/>
                  <a:lumOff val="20000"/>
                </a:schemeClr>
              </a:solidFill>
              <a:ln>
                <a:noFill/>
              </a:ln>
              <a:effectLst/>
              <a:sp3d/>
            </c:spPr>
            <c:extLst>
              <c:ext xmlns:c16="http://schemas.microsoft.com/office/drawing/2014/chart" uri="{C3380CC4-5D6E-409C-BE32-E72D297353CC}">
                <c16:uniqueId val="{00000089-1933-46B8-879A-421D07B71882}"/>
              </c:ext>
            </c:extLst>
          </c:dPt>
          <c:dPt>
            <c:idx val="69"/>
            <c:bubble3D val="0"/>
            <c:spPr>
              <a:solidFill>
                <a:schemeClr val="accent4">
                  <a:lumMod val="80000"/>
                  <a:lumOff val="20000"/>
                </a:schemeClr>
              </a:solidFill>
              <a:ln>
                <a:noFill/>
              </a:ln>
              <a:effectLst/>
              <a:sp3d/>
            </c:spPr>
            <c:extLst>
              <c:ext xmlns:c16="http://schemas.microsoft.com/office/drawing/2014/chart" uri="{C3380CC4-5D6E-409C-BE32-E72D297353CC}">
                <c16:uniqueId val="{0000008B-1933-46B8-879A-421D07B71882}"/>
              </c:ext>
            </c:extLst>
          </c:dPt>
          <c:dPt>
            <c:idx val="70"/>
            <c:bubble3D val="0"/>
            <c:spPr>
              <a:solidFill>
                <a:schemeClr val="accent5">
                  <a:lumMod val="80000"/>
                  <a:lumOff val="20000"/>
                </a:schemeClr>
              </a:solidFill>
              <a:ln>
                <a:noFill/>
              </a:ln>
              <a:effectLst/>
              <a:sp3d/>
            </c:spPr>
            <c:extLst>
              <c:ext xmlns:c16="http://schemas.microsoft.com/office/drawing/2014/chart" uri="{C3380CC4-5D6E-409C-BE32-E72D297353CC}">
                <c16:uniqueId val="{0000008D-1933-46B8-879A-421D07B71882}"/>
              </c:ext>
            </c:extLst>
          </c:dPt>
          <c:dPt>
            <c:idx val="71"/>
            <c:bubble3D val="0"/>
            <c:spPr>
              <a:solidFill>
                <a:schemeClr val="accent6">
                  <a:lumMod val="80000"/>
                  <a:lumOff val="20000"/>
                </a:schemeClr>
              </a:solidFill>
              <a:ln>
                <a:noFill/>
              </a:ln>
              <a:effectLst/>
              <a:sp3d/>
            </c:spPr>
            <c:extLst>
              <c:ext xmlns:c16="http://schemas.microsoft.com/office/drawing/2014/chart" uri="{C3380CC4-5D6E-409C-BE32-E72D297353CC}">
                <c16:uniqueId val="{0000008F-1933-46B8-879A-421D07B71882}"/>
              </c:ext>
            </c:extLst>
          </c:dPt>
          <c:dPt>
            <c:idx val="72"/>
            <c:bubble3D val="0"/>
            <c:spPr>
              <a:solidFill>
                <a:schemeClr val="accent1">
                  <a:lumMod val="80000"/>
                </a:schemeClr>
              </a:solidFill>
              <a:ln>
                <a:noFill/>
              </a:ln>
              <a:effectLst/>
              <a:sp3d/>
            </c:spPr>
            <c:extLst>
              <c:ext xmlns:c16="http://schemas.microsoft.com/office/drawing/2014/chart" uri="{C3380CC4-5D6E-409C-BE32-E72D297353CC}">
                <c16:uniqueId val="{00000091-1933-46B8-879A-421D07B71882}"/>
              </c:ext>
            </c:extLst>
          </c:dPt>
          <c:dPt>
            <c:idx val="73"/>
            <c:bubble3D val="0"/>
            <c:spPr>
              <a:solidFill>
                <a:schemeClr val="accent2">
                  <a:lumMod val="80000"/>
                </a:schemeClr>
              </a:solidFill>
              <a:ln>
                <a:noFill/>
              </a:ln>
              <a:effectLst/>
              <a:sp3d/>
            </c:spPr>
            <c:extLst>
              <c:ext xmlns:c16="http://schemas.microsoft.com/office/drawing/2014/chart" uri="{C3380CC4-5D6E-409C-BE32-E72D297353CC}">
                <c16:uniqueId val="{00000093-1933-46B8-879A-421D07B71882}"/>
              </c:ext>
            </c:extLst>
          </c:dPt>
          <c:dPt>
            <c:idx val="74"/>
            <c:bubble3D val="0"/>
            <c:spPr>
              <a:solidFill>
                <a:schemeClr val="accent3">
                  <a:lumMod val="80000"/>
                </a:schemeClr>
              </a:solidFill>
              <a:ln>
                <a:noFill/>
              </a:ln>
              <a:effectLst/>
              <a:sp3d/>
            </c:spPr>
            <c:extLst>
              <c:ext xmlns:c16="http://schemas.microsoft.com/office/drawing/2014/chart" uri="{C3380CC4-5D6E-409C-BE32-E72D297353CC}">
                <c16:uniqueId val="{00000095-1933-46B8-879A-421D07B71882}"/>
              </c:ext>
            </c:extLst>
          </c:dPt>
          <c:dPt>
            <c:idx val="75"/>
            <c:bubble3D val="0"/>
            <c:spPr>
              <a:solidFill>
                <a:schemeClr val="accent4">
                  <a:lumMod val="80000"/>
                </a:schemeClr>
              </a:solidFill>
              <a:ln>
                <a:noFill/>
              </a:ln>
              <a:effectLst/>
              <a:sp3d/>
            </c:spPr>
            <c:extLst>
              <c:ext xmlns:c16="http://schemas.microsoft.com/office/drawing/2014/chart" uri="{C3380CC4-5D6E-409C-BE32-E72D297353CC}">
                <c16:uniqueId val="{00000097-1933-46B8-879A-421D07B71882}"/>
              </c:ext>
            </c:extLst>
          </c:dPt>
          <c:dPt>
            <c:idx val="76"/>
            <c:bubble3D val="0"/>
            <c:spPr>
              <a:solidFill>
                <a:schemeClr val="accent5">
                  <a:lumMod val="80000"/>
                </a:schemeClr>
              </a:solidFill>
              <a:ln>
                <a:noFill/>
              </a:ln>
              <a:effectLst/>
              <a:sp3d/>
            </c:spPr>
            <c:extLst>
              <c:ext xmlns:c16="http://schemas.microsoft.com/office/drawing/2014/chart" uri="{C3380CC4-5D6E-409C-BE32-E72D297353CC}">
                <c16:uniqueId val="{00000099-1933-46B8-879A-421D07B71882}"/>
              </c:ext>
            </c:extLst>
          </c:dPt>
          <c:dPt>
            <c:idx val="77"/>
            <c:bubble3D val="0"/>
            <c:spPr>
              <a:solidFill>
                <a:schemeClr val="accent6">
                  <a:lumMod val="80000"/>
                </a:schemeClr>
              </a:solidFill>
              <a:ln>
                <a:noFill/>
              </a:ln>
              <a:effectLst/>
              <a:sp3d/>
            </c:spPr>
            <c:extLst>
              <c:ext xmlns:c16="http://schemas.microsoft.com/office/drawing/2014/chart" uri="{C3380CC4-5D6E-409C-BE32-E72D297353CC}">
                <c16:uniqueId val="{0000009B-1933-46B8-879A-421D07B71882}"/>
              </c:ext>
            </c:extLst>
          </c:dPt>
          <c:dPt>
            <c:idx val="78"/>
            <c:bubble3D val="0"/>
            <c:spPr>
              <a:solidFill>
                <a:schemeClr val="accent1">
                  <a:lumMod val="60000"/>
                  <a:lumOff val="40000"/>
                </a:schemeClr>
              </a:solidFill>
              <a:ln>
                <a:noFill/>
              </a:ln>
              <a:effectLst/>
              <a:sp3d/>
            </c:spPr>
            <c:extLst>
              <c:ext xmlns:c16="http://schemas.microsoft.com/office/drawing/2014/chart" uri="{C3380CC4-5D6E-409C-BE32-E72D297353CC}">
                <c16:uniqueId val="{0000009D-1933-46B8-879A-421D07B71882}"/>
              </c:ext>
            </c:extLst>
          </c:dPt>
          <c:dPt>
            <c:idx val="79"/>
            <c:bubble3D val="0"/>
            <c:spPr>
              <a:solidFill>
                <a:schemeClr val="accent2">
                  <a:lumMod val="60000"/>
                  <a:lumOff val="40000"/>
                </a:schemeClr>
              </a:solidFill>
              <a:ln>
                <a:noFill/>
              </a:ln>
              <a:effectLst/>
              <a:sp3d/>
            </c:spPr>
            <c:extLst>
              <c:ext xmlns:c16="http://schemas.microsoft.com/office/drawing/2014/chart" uri="{C3380CC4-5D6E-409C-BE32-E72D297353CC}">
                <c16:uniqueId val="{0000009F-1933-46B8-879A-421D07B71882}"/>
              </c:ext>
            </c:extLst>
          </c:dPt>
          <c:dPt>
            <c:idx val="80"/>
            <c:bubble3D val="0"/>
            <c:spPr>
              <a:solidFill>
                <a:schemeClr val="accent3">
                  <a:lumMod val="60000"/>
                  <a:lumOff val="40000"/>
                </a:schemeClr>
              </a:solidFill>
              <a:ln>
                <a:noFill/>
              </a:ln>
              <a:effectLst/>
              <a:sp3d/>
            </c:spPr>
            <c:extLst>
              <c:ext xmlns:c16="http://schemas.microsoft.com/office/drawing/2014/chart" uri="{C3380CC4-5D6E-409C-BE32-E72D297353CC}">
                <c16:uniqueId val="{000000A1-1933-46B8-879A-421D07B71882}"/>
              </c:ext>
            </c:extLst>
          </c:dPt>
          <c:dPt>
            <c:idx val="81"/>
            <c:bubble3D val="0"/>
            <c:spPr>
              <a:solidFill>
                <a:schemeClr val="accent4">
                  <a:lumMod val="60000"/>
                  <a:lumOff val="40000"/>
                </a:schemeClr>
              </a:solidFill>
              <a:ln>
                <a:noFill/>
              </a:ln>
              <a:effectLst/>
              <a:sp3d/>
            </c:spPr>
            <c:extLst>
              <c:ext xmlns:c16="http://schemas.microsoft.com/office/drawing/2014/chart" uri="{C3380CC4-5D6E-409C-BE32-E72D297353CC}">
                <c16:uniqueId val="{000000A3-1933-46B8-879A-421D07B71882}"/>
              </c:ext>
            </c:extLst>
          </c:dPt>
          <c:dPt>
            <c:idx val="82"/>
            <c:bubble3D val="0"/>
            <c:spPr>
              <a:solidFill>
                <a:schemeClr val="accent5">
                  <a:lumMod val="60000"/>
                  <a:lumOff val="40000"/>
                </a:schemeClr>
              </a:solidFill>
              <a:ln>
                <a:noFill/>
              </a:ln>
              <a:effectLst/>
              <a:sp3d/>
            </c:spPr>
            <c:extLst>
              <c:ext xmlns:c16="http://schemas.microsoft.com/office/drawing/2014/chart" uri="{C3380CC4-5D6E-409C-BE32-E72D297353CC}">
                <c16:uniqueId val="{000000A5-1933-46B8-879A-421D07B71882}"/>
              </c:ext>
            </c:extLst>
          </c:dPt>
          <c:dPt>
            <c:idx val="83"/>
            <c:bubble3D val="0"/>
            <c:spPr>
              <a:solidFill>
                <a:schemeClr val="accent6">
                  <a:lumMod val="60000"/>
                  <a:lumOff val="40000"/>
                </a:schemeClr>
              </a:solidFill>
              <a:ln>
                <a:noFill/>
              </a:ln>
              <a:effectLst/>
              <a:sp3d/>
            </c:spPr>
            <c:extLst>
              <c:ext xmlns:c16="http://schemas.microsoft.com/office/drawing/2014/chart" uri="{C3380CC4-5D6E-409C-BE32-E72D297353CC}">
                <c16:uniqueId val="{000000A7-1933-46B8-879A-421D07B71882}"/>
              </c:ext>
            </c:extLst>
          </c:dPt>
          <c:dPt>
            <c:idx val="84"/>
            <c:bubble3D val="0"/>
            <c:spPr>
              <a:solidFill>
                <a:schemeClr val="accent1">
                  <a:lumMod val="50000"/>
                </a:schemeClr>
              </a:solidFill>
              <a:ln>
                <a:noFill/>
              </a:ln>
              <a:effectLst/>
              <a:sp3d/>
            </c:spPr>
            <c:extLst>
              <c:ext xmlns:c16="http://schemas.microsoft.com/office/drawing/2014/chart" uri="{C3380CC4-5D6E-409C-BE32-E72D297353CC}">
                <c16:uniqueId val="{000000A9-1933-46B8-879A-421D07B71882}"/>
              </c:ext>
            </c:extLst>
          </c:dPt>
          <c:dPt>
            <c:idx val="85"/>
            <c:bubble3D val="0"/>
            <c:spPr>
              <a:solidFill>
                <a:schemeClr val="accent2">
                  <a:lumMod val="50000"/>
                </a:schemeClr>
              </a:solidFill>
              <a:ln>
                <a:noFill/>
              </a:ln>
              <a:effectLst/>
              <a:sp3d/>
            </c:spPr>
            <c:extLst>
              <c:ext xmlns:c16="http://schemas.microsoft.com/office/drawing/2014/chart" uri="{C3380CC4-5D6E-409C-BE32-E72D297353CC}">
                <c16:uniqueId val="{000000AB-1933-46B8-879A-421D07B71882}"/>
              </c:ext>
            </c:extLst>
          </c:dPt>
          <c:dPt>
            <c:idx val="86"/>
            <c:bubble3D val="0"/>
            <c:spPr>
              <a:solidFill>
                <a:schemeClr val="accent3">
                  <a:lumMod val="50000"/>
                </a:schemeClr>
              </a:solidFill>
              <a:ln>
                <a:noFill/>
              </a:ln>
              <a:effectLst/>
              <a:sp3d/>
            </c:spPr>
            <c:extLst>
              <c:ext xmlns:c16="http://schemas.microsoft.com/office/drawing/2014/chart" uri="{C3380CC4-5D6E-409C-BE32-E72D297353CC}">
                <c16:uniqueId val="{000000AD-1933-46B8-879A-421D07B71882}"/>
              </c:ext>
            </c:extLst>
          </c:dPt>
          <c:dPt>
            <c:idx val="87"/>
            <c:bubble3D val="0"/>
            <c:spPr>
              <a:solidFill>
                <a:schemeClr val="accent4">
                  <a:lumMod val="50000"/>
                </a:schemeClr>
              </a:solidFill>
              <a:ln>
                <a:noFill/>
              </a:ln>
              <a:effectLst/>
              <a:sp3d/>
            </c:spPr>
            <c:extLst>
              <c:ext xmlns:c16="http://schemas.microsoft.com/office/drawing/2014/chart" uri="{C3380CC4-5D6E-409C-BE32-E72D297353CC}">
                <c16:uniqueId val="{000000AF-1933-46B8-879A-421D07B71882}"/>
              </c:ext>
            </c:extLst>
          </c:dPt>
          <c:dPt>
            <c:idx val="88"/>
            <c:bubble3D val="0"/>
            <c:spPr>
              <a:solidFill>
                <a:schemeClr val="accent5">
                  <a:lumMod val="50000"/>
                </a:schemeClr>
              </a:solidFill>
              <a:ln>
                <a:noFill/>
              </a:ln>
              <a:effectLst/>
              <a:sp3d/>
            </c:spPr>
            <c:extLst>
              <c:ext xmlns:c16="http://schemas.microsoft.com/office/drawing/2014/chart" uri="{C3380CC4-5D6E-409C-BE32-E72D297353CC}">
                <c16:uniqueId val="{000000B1-1933-46B8-879A-421D07B71882}"/>
              </c:ext>
            </c:extLst>
          </c:dPt>
          <c:dPt>
            <c:idx val="89"/>
            <c:bubble3D val="0"/>
            <c:spPr>
              <a:solidFill>
                <a:schemeClr val="accent6">
                  <a:lumMod val="50000"/>
                </a:schemeClr>
              </a:solidFill>
              <a:ln>
                <a:noFill/>
              </a:ln>
              <a:effectLst/>
              <a:sp3d/>
            </c:spPr>
            <c:extLst>
              <c:ext xmlns:c16="http://schemas.microsoft.com/office/drawing/2014/chart" uri="{C3380CC4-5D6E-409C-BE32-E72D297353CC}">
                <c16:uniqueId val="{000000B3-1933-46B8-879A-421D07B71882}"/>
              </c:ext>
            </c:extLst>
          </c:dPt>
          <c:dPt>
            <c:idx val="90"/>
            <c:bubble3D val="0"/>
            <c:spPr>
              <a:solidFill>
                <a:schemeClr val="accent1">
                  <a:lumMod val="70000"/>
                  <a:lumOff val="30000"/>
                </a:schemeClr>
              </a:solidFill>
              <a:ln>
                <a:noFill/>
              </a:ln>
              <a:effectLst/>
              <a:sp3d/>
            </c:spPr>
            <c:extLst>
              <c:ext xmlns:c16="http://schemas.microsoft.com/office/drawing/2014/chart" uri="{C3380CC4-5D6E-409C-BE32-E72D297353CC}">
                <c16:uniqueId val="{000000B5-1933-46B8-879A-421D07B71882}"/>
              </c:ext>
            </c:extLst>
          </c:dPt>
          <c:dPt>
            <c:idx val="91"/>
            <c:bubble3D val="0"/>
            <c:spPr>
              <a:solidFill>
                <a:schemeClr val="accent2">
                  <a:lumMod val="70000"/>
                  <a:lumOff val="30000"/>
                </a:schemeClr>
              </a:solidFill>
              <a:ln>
                <a:noFill/>
              </a:ln>
              <a:effectLst/>
              <a:sp3d/>
            </c:spPr>
            <c:extLst>
              <c:ext xmlns:c16="http://schemas.microsoft.com/office/drawing/2014/chart" uri="{C3380CC4-5D6E-409C-BE32-E72D297353CC}">
                <c16:uniqueId val="{000000B7-1933-46B8-879A-421D07B71882}"/>
              </c:ext>
            </c:extLst>
          </c:dPt>
          <c:dPt>
            <c:idx val="92"/>
            <c:bubble3D val="0"/>
            <c:spPr>
              <a:solidFill>
                <a:schemeClr val="accent3">
                  <a:lumMod val="70000"/>
                  <a:lumOff val="30000"/>
                </a:schemeClr>
              </a:solidFill>
              <a:ln>
                <a:noFill/>
              </a:ln>
              <a:effectLst/>
              <a:sp3d/>
            </c:spPr>
            <c:extLst>
              <c:ext xmlns:c16="http://schemas.microsoft.com/office/drawing/2014/chart" uri="{C3380CC4-5D6E-409C-BE32-E72D297353CC}">
                <c16:uniqueId val="{000000B9-1933-46B8-879A-421D07B71882}"/>
              </c:ext>
            </c:extLst>
          </c:dPt>
          <c:dPt>
            <c:idx val="93"/>
            <c:bubble3D val="0"/>
            <c:spPr>
              <a:solidFill>
                <a:schemeClr val="accent4">
                  <a:lumMod val="70000"/>
                  <a:lumOff val="30000"/>
                </a:schemeClr>
              </a:solidFill>
              <a:ln>
                <a:noFill/>
              </a:ln>
              <a:effectLst/>
              <a:sp3d/>
            </c:spPr>
            <c:extLst>
              <c:ext xmlns:c16="http://schemas.microsoft.com/office/drawing/2014/chart" uri="{C3380CC4-5D6E-409C-BE32-E72D297353CC}">
                <c16:uniqueId val="{000000BB-1933-46B8-879A-421D07B71882}"/>
              </c:ext>
            </c:extLst>
          </c:dPt>
          <c:dPt>
            <c:idx val="94"/>
            <c:bubble3D val="0"/>
            <c:spPr>
              <a:solidFill>
                <a:schemeClr val="accent5">
                  <a:lumMod val="70000"/>
                  <a:lumOff val="30000"/>
                </a:schemeClr>
              </a:solidFill>
              <a:ln>
                <a:noFill/>
              </a:ln>
              <a:effectLst/>
              <a:sp3d/>
            </c:spPr>
            <c:extLst>
              <c:ext xmlns:c16="http://schemas.microsoft.com/office/drawing/2014/chart" uri="{C3380CC4-5D6E-409C-BE32-E72D297353CC}">
                <c16:uniqueId val="{000000BD-1933-46B8-879A-421D07B71882}"/>
              </c:ext>
            </c:extLst>
          </c:dPt>
          <c:dPt>
            <c:idx val="95"/>
            <c:bubble3D val="0"/>
            <c:spPr>
              <a:solidFill>
                <a:schemeClr val="accent6">
                  <a:lumMod val="70000"/>
                  <a:lumOff val="30000"/>
                </a:schemeClr>
              </a:solidFill>
              <a:ln>
                <a:noFill/>
              </a:ln>
              <a:effectLst/>
              <a:sp3d/>
            </c:spPr>
            <c:extLst>
              <c:ext xmlns:c16="http://schemas.microsoft.com/office/drawing/2014/chart" uri="{C3380CC4-5D6E-409C-BE32-E72D297353CC}">
                <c16:uniqueId val="{000000BF-1933-46B8-879A-421D07B71882}"/>
              </c:ext>
            </c:extLst>
          </c:dPt>
          <c:dPt>
            <c:idx val="96"/>
            <c:bubble3D val="0"/>
            <c:spPr>
              <a:solidFill>
                <a:schemeClr val="accent1">
                  <a:lumMod val="70000"/>
                </a:schemeClr>
              </a:solidFill>
              <a:ln>
                <a:noFill/>
              </a:ln>
              <a:effectLst/>
              <a:sp3d/>
            </c:spPr>
            <c:extLst>
              <c:ext xmlns:c16="http://schemas.microsoft.com/office/drawing/2014/chart" uri="{C3380CC4-5D6E-409C-BE32-E72D297353CC}">
                <c16:uniqueId val="{000000C1-1933-46B8-879A-421D07B71882}"/>
              </c:ext>
            </c:extLst>
          </c:dPt>
          <c:dPt>
            <c:idx val="97"/>
            <c:bubble3D val="0"/>
            <c:spPr>
              <a:solidFill>
                <a:schemeClr val="accent2">
                  <a:lumMod val="70000"/>
                </a:schemeClr>
              </a:solidFill>
              <a:ln>
                <a:noFill/>
              </a:ln>
              <a:effectLst/>
              <a:sp3d/>
            </c:spPr>
            <c:extLst>
              <c:ext xmlns:c16="http://schemas.microsoft.com/office/drawing/2014/chart" uri="{C3380CC4-5D6E-409C-BE32-E72D297353CC}">
                <c16:uniqueId val="{000000C3-1933-46B8-879A-421D07B71882}"/>
              </c:ext>
            </c:extLst>
          </c:dPt>
          <c:dPt>
            <c:idx val="98"/>
            <c:bubble3D val="0"/>
            <c:spPr>
              <a:solidFill>
                <a:schemeClr val="accent3">
                  <a:lumMod val="70000"/>
                </a:schemeClr>
              </a:solidFill>
              <a:ln>
                <a:noFill/>
              </a:ln>
              <a:effectLst/>
              <a:sp3d/>
            </c:spPr>
            <c:extLst>
              <c:ext xmlns:c16="http://schemas.microsoft.com/office/drawing/2014/chart" uri="{C3380CC4-5D6E-409C-BE32-E72D297353CC}">
                <c16:uniqueId val="{000000C5-1933-46B8-879A-421D07B71882}"/>
              </c:ext>
            </c:extLst>
          </c:dPt>
          <c:dPt>
            <c:idx val="99"/>
            <c:bubble3D val="0"/>
            <c:spPr>
              <a:solidFill>
                <a:schemeClr val="accent4">
                  <a:lumMod val="70000"/>
                </a:schemeClr>
              </a:solidFill>
              <a:ln>
                <a:noFill/>
              </a:ln>
              <a:effectLst/>
              <a:sp3d/>
            </c:spPr>
            <c:extLst>
              <c:ext xmlns:c16="http://schemas.microsoft.com/office/drawing/2014/chart" uri="{C3380CC4-5D6E-409C-BE32-E72D297353CC}">
                <c16:uniqueId val="{000000C7-1933-46B8-879A-421D07B71882}"/>
              </c:ext>
            </c:extLst>
          </c:dPt>
          <c:dPt>
            <c:idx val="100"/>
            <c:bubble3D val="0"/>
            <c:spPr>
              <a:solidFill>
                <a:schemeClr val="accent5">
                  <a:lumMod val="70000"/>
                </a:schemeClr>
              </a:solidFill>
              <a:ln>
                <a:noFill/>
              </a:ln>
              <a:effectLst/>
              <a:sp3d/>
            </c:spPr>
            <c:extLst>
              <c:ext xmlns:c16="http://schemas.microsoft.com/office/drawing/2014/chart" uri="{C3380CC4-5D6E-409C-BE32-E72D297353CC}">
                <c16:uniqueId val="{000000C9-1933-46B8-879A-421D07B71882}"/>
              </c:ext>
            </c:extLst>
          </c:dPt>
          <c:dPt>
            <c:idx val="101"/>
            <c:bubble3D val="0"/>
            <c:spPr>
              <a:solidFill>
                <a:schemeClr val="accent6">
                  <a:lumMod val="70000"/>
                </a:schemeClr>
              </a:solidFill>
              <a:ln>
                <a:noFill/>
              </a:ln>
              <a:effectLst/>
              <a:sp3d/>
            </c:spPr>
            <c:extLst>
              <c:ext xmlns:c16="http://schemas.microsoft.com/office/drawing/2014/chart" uri="{C3380CC4-5D6E-409C-BE32-E72D297353CC}">
                <c16:uniqueId val="{000000CB-1933-46B8-879A-421D07B71882}"/>
              </c:ext>
            </c:extLst>
          </c:dPt>
          <c:dPt>
            <c:idx val="102"/>
            <c:bubble3D val="0"/>
            <c:spPr>
              <a:solidFill>
                <a:schemeClr val="accent1">
                  <a:lumMod val="50000"/>
                  <a:lumOff val="50000"/>
                </a:schemeClr>
              </a:solidFill>
              <a:ln>
                <a:noFill/>
              </a:ln>
              <a:effectLst/>
              <a:sp3d/>
            </c:spPr>
            <c:extLst>
              <c:ext xmlns:c16="http://schemas.microsoft.com/office/drawing/2014/chart" uri="{C3380CC4-5D6E-409C-BE32-E72D297353CC}">
                <c16:uniqueId val="{000000CD-1933-46B8-879A-421D07B71882}"/>
              </c:ext>
            </c:extLst>
          </c:dPt>
          <c:dPt>
            <c:idx val="103"/>
            <c:bubble3D val="0"/>
            <c:spPr>
              <a:solidFill>
                <a:schemeClr val="accent2">
                  <a:lumMod val="50000"/>
                  <a:lumOff val="50000"/>
                </a:schemeClr>
              </a:solidFill>
              <a:ln>
                <a:noFill/>
              </a:ln>
              <a:effectLst/>
              <a:sp3d/>
            </c:spPr>
            <c:extLst>
              <c:ext xmlns:c16="http://schemas.microsoft.com/office/drawing/2014/chart" uri="{C3380CC4-5D6E-409C-BE32-E72D297353CC}">
                <c16:uniqueId val="{000000CF-1933-46B8-879A-421D07B71882}"/>
              </c:ext>
            </c:extLst>
          </c:dPt>
          <c:dPt>
            <c:idx val="104"/>
            <c:bubble3D val="0"/>
            <c:spPr>
              <a:solidFill>
                <a:schemeClr val="accent3">
                  <a:lumMod val="50000"/>
                  <a:lumOff val="50000"/>
                </a:schemeClr>
              </a:solidFill>
              <a:ln>
                <a:noFill/>
              </a:ln>
              <a:effectLst/>
              <a:sp3d/>
            </c:spPr>
            <c:extLst>
              <c:ext xmlns:c16="http://schemas.microsoft.com/office/drawing/2014/chart" uri="{C3380CC4-5D6E-409C-BE32-E72D297353CC}">
                <c16:uniqueId val="{000000D1-1933-46B8-879A-421D07B71882}"/>
              </c:ext>
            </c:extLst>
          </c:dPt>
          <c:dPt>
            <c:idx val="105"/>
            <c:bubble3D val="0"/>
            <c:spPr>
              <a:solidFill>
                <a:schemeClr val="accent4">
                  <a:lumMod val="50000"/>
                  <a:lumOff val="50000"/>
                </a:schemeClr>
              </a:solidFill>
              <a:ln>
                <a:noFill/>
              </a:ln>
              <a:effectLst/>
              <a:sp3d/>
            </c:spPr>
            <c:extLst>
              <c:ext xmlns:c16="http://schemas.microsoft.com/office/drawing/2014/chart" uri="{C3380CC4-5D6E-409C-BE32-E72D297353CC}">
                <c16:uniqueId val="{000000D3-1933-46B8-879A-421D07B71882}"/>
              </c:ext>
            </c:extLst>
          </c:dPt>
          <c:dPt>
            <c:idx val="106"/>
            <c:bubble3D val="0"/>
            <c:spPr>
              <a:solidFill>
                <a:schemeClr val="accent5">
                  <a:lumMod val="50000"/>
                  <a:lumOff val="50000"/>
                </a:schemeClr>
              </a:solidFill>
              <a:ln>
                <a:noFill/>
              </a:ln>
              <a:effectLst/>
              <a:sp3d/>
            </c:spPr>
            <c:extLst>
              <c:ext xmlns:c16="http://schemas.microsoft.com/office/drawing/2014/chart" uri="{C3380CC4-5D6E-409C-BE32-E72D297353CC}">
                <c16:uniqueId val="{000000D5-1933-46B8-879A-421D07B71882}"/>
              </c:ext>
            </c:extLst>
          </c:dPt>
          <c:dPt>
            <c:idx val="107"/>
            <c:bubble3D val="0"/>
            <c:spPr>
              <a:solidFill>
                <a:schemeClr val="accent6">
                  <a:lumMod val="50000"/>
                  <a:lumOff val="50000"/>
                </a:schemeClr>
              </a:solidFill>
              <a:ln>
                <a:noFill/>
              </a:ln>
              <a:effectLst/>
              <a:sp3d/>
            </c:spPr>
            <c:extLst>
              <c:ext xmlns:c16="http://schemas.microsoft.com/office/drawing/2014/chart" uri="{C3380CC4-5D6E-409C-BE32-E72D297353CC}">
                <c16:uniqueId val="{000000D7-1933-46B8-879A-421D07B71882}"/>
              </c:ext>
            </c:extLst>
          </c:dPt>
          <c:dPt>
            <c:idx val="108"/>
            <c:bubble3D val="0"/>
            <c:spPr>
              <a:solidFill>
                <a:schemeClr val="accent1"/>
              </a:solidFill>
              <a:ln>
                <a:noFill/>
              </a:ln>
              <a:effectLst/>
              <a:sp3d/>
            </c:spPr>
            <c:extLst>
              <c:ext xmlns:c16="http://schemas.microsoft.com/office/drawing/2014/chart" uri="{C3380CC4-5D6E-409C-BE32-E72D297353CC}">
                <c16:uniqueId val="{000000D9-1933-46B8-879A-421D07B71882}"/>
              </c:ext>
            </c:extLst>
          </c:dPt>
          <c:cat>
            <c:strRef>
              <c:f>PPA!$A$151:$A$260</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PPA!$B$151:$B$260</c:f>
              <c:numCache>
                <c:formatCode>General</c:formatCode>
                <c:ptCount val="109"/>
                <c:pt idx="0">
                  <c:v>4.5</c:v>
                </c:pt>
                <c:pt idx="1">
                  <c:v>4.7</c:v>
                </c:pt>
                <c:pt idx="2">
                  <c:v>4.5</c:v>
                </c:pt>
                <c:pt idx="3">
                  <c:v>3.8</c:v>
                </c:pt>
                <c:pt idx="4">
                  <c:v>4.7</c:v>
                </c:pt>
                <c:pt idx="5">
                  <c:v>2.8</c:v>
                </c:pt>
                <c:pt idx="6">
                  <c:v>3.8</c:v>
                </c:pt>
                <c:pt idx="7">
                  <c:v>3.8</c:v>
                </c:pt>
                <c:pt idx="8">
                  <c:v>4.5999999999999996</c:v>
                </c:pt>
                <c:pt idx="9">
                  <c:v>3.8</c:v>
                </c:pt>
                <c:pt idx="10">
                  <c:v>3.8</c:v>
                </c:pt>
                <c:pt idx="11">
                  <c:v>4</c:v>
                </c:pt>
                <c:pt idx="12">
                  <c:v>3.8</c:v>
                </c:pt>
                <c:pt idx="13">
                  <c:v>3.8</c:v>
                </c:pt>
                <c:pt idx="14">
                  <c:v>3.8</c:v>
                </c:pt>
                <c:pt idx="15">
                  <c:v>3.8</c:v>
                </c:pt>
                <c:pt idx="16">
                  <c:v>3</c:v>
                </c:pt>
                <c:pt idx="17">
                  <c:v>2.2999999999999998</c:v>
                </c:pt>
                <c:pt idx="18">
                  <c:v>4.5999999999999996</c:v>
                </c:pt>
                <c:pt idx="19">
                  <c:v>3.8</c:v>
                </c:pt>
                <c:pt idx="20">
                  <c:v>3.3</c:v>
                </c:pt>
                <c:pt idx="21">
                  <c:v>3.8</c:v>
                </c:pt>
                <c:pt idx="22">
                  <c:v>4.8</c:v>
                </c:pt>
                <c:pt idx="23">
                  <c:v>3.8</c:v>
                </c:pt>
                <c:pt idx="24">
                  <c:v>3.3</c:v>
                </c:pt>
                <c:pt idx="25">
                  <c:v>2.5</c:v>
                </c:pt>
                <c:pt idx="26">
                  <c:v>4.0999999999999996</c:v>
                </c:pt>
                <c:pt idx="27">
                  <c:v>4.5</c:v>
                </c:pt>
                <c:pt idx="28">
                  <c:v>4.7</c:v>
                </c:pt>
                <c:pt idx="29">
                  <c:v>3.8</c:v>
                </c:pt>
                <c:pt idx="30">
                  <c:v>2.1</c:v>
                </c:pt>
                <c:pt idx="31">
                  <c:v>3.8</c:v>
                </c:pt>
                <c:pt idx="32">
                  <c:v>3.8</c:v>
                </c:pt>
                <c:pt idx="33">
                  <c:v>3.8</c:v>
                </c:pt>
                <c:pt idx="34">
                  <c:v>3.8</c:v>
                </c:pt>
                <c:pt idx="35">
                  <c:v>2.2000000000000002</c:v>
                </c:pt>
                <c:pt idx="36">
                  <c:v>3.8</c:v>
                </c:pt>
                <c:pt idx="37">
                  <c:v>3.8</c:v>
                </c:pt>
                <c:pt idx="38">
                  <c:v>2.6</c:v>
                </c:pt>
                <c:pt idx="39">
                  <c:v>3.8</c:v>
                </c:pt>
                <c:pt idx="40">
                  <c:v>5</c:v>
                </c:pt>
                <c:pt idx="41">
                  <c:v>2.2000000000000002</c:v>
                </c:pt>
                <c:pt idx="42">
                  <c:v>3.8</c:v>
                </c:pt>
                <c:pt idx="43">
                  <c:v>3.8</c:v>
                </c:pt>
                <c:pt idx="44">
                  <c:v>5</c:v>
                </c:pt>
                <c:pt idx="45">
                  <c:v>3.8</c:v>
                </c:pt>
                <c:pt idx="46">
                  <c:v>3.8</c:v>
                </c:pt>
                <c:pt idx="47">
                  <c:v>3.8</c:v>
                </c:pt>
                <c:pt idx="48">
                  <c:v>3.8</c:v>
                </c:pt>
                <c:pt idx="49">
                  <c:v>3.8</c:v>
                </c:pt>
                <c:pt idx="50">
                  <c:v>3.8</c:v>
                </c:pt>
                <c:pt idx="51">
                  <c:v>3.8</c:v>
                </c:pt>
                <c:pt idx="52">
                  <c:v>5</c:v>
                </c:pt>
                <c:pt idx="53">
                  <c:v>3.8</c:v>
                </c:pt>
                <c:pt idx="54">
                  <c:v>3.8</c:v>
                </c:pt>
                <c:pt idx="55">
                  <c:v>3.8</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1">
                  <c:v>3.8</c:v>
                </c:pt>
                <c:pt idx="72">
                  <c:v>4.3</c:v>
                </c:pt>
                <c:pt idx="73">
                  <c:v>4</c:v>
                </c:pt>
                <c:pt idx="74">
                  <c:v>3.8</c:v>
                </c:pt>
                <c:pt idx="75">
                  <c:v>4.5999999999999996</c:v>
                </c:pt>
                <c:pt idx="76">
                  <c:v>3</c:v>
                </c:pt>
                <c:pt idx="77">
                  <c:v>4.0999999999999996</c:v>
                </c:pt>
                <c:pt idx="78">
                  <c:v>3.8</c:v>
                </c:pt>
                <c:pt idx="79">
                  <c:v>3.8</c:v>
                </c:pt>
                <c:pt idx="80">
                  <c:v>4.2</c:v>
                </c:pt>
                <c:pt idx="81">
                  <c:v>3.8</c:v>
                </c:pt>
                <c:pt idx="82">
                  <c:v>3.8</c:v>
                </c:pt>
                <c:pt idx="83">
                  <c:v>3.8</c:v>
                </c:pt>
                <c:pt idx="84">
                  <c:v>3</c:v>
                </c:pt>
                <c:pt idx="85">
                  <c:v>3.8</c:v>
                </c:pt>
                <c:pt idx="86">
                  <c:v>3.8</c:v>
                </c:pt>
                <c:pt idx="87">
                  <c:v>5</c:v>
                </c:pt>
                <c:pt idx="88">
                  <c:v>3.8</c:v>
                </c:pt>
                <c:pt idx="89">
                  <c:v>3.8</c:v>
                </c:pt>
                <c:pt idx="90">
                  <c:v>4.8</c:v>
                </c:pt>
                <c:pt idx="91">
                  <c:v>4.5999999999999996</c:v>
                </c:pt>
                <c:pt idx="92">
                  <c:v>3.8</c:v>
                </c:pt>
                <c:pt idx="93">
                  <c:v>3.8</c:v>
                </c:pt>
                <c:pt idx="94">
                  <c:v>3.8</c:v>
                </c:pt>
                <c:pt idx="95">
                  <c:v>4.3</c:v>
                </c:pt>
                <c:pt idx="96">
                  <c:v>3.8</c:v>
                </c:pt>
                <c:pt idx="97">
                  <c:v>3.8</c:v>
                </c:pt>
                <c:pt idx="98">
                  <c:v>3.8</c:v>
                </c:pt>
                <c:pt idx="99">
                  <c:v>3.8</c:v>
                </c:pt>
                <c:pt idx="100">
                  <c:v>3.8</c:v>
                </c:pt>
                <c:pt idx="101">
                  <c:v>2.9</c:v>
                </c:pt>
                <c:pt idx="102">
                  <c:v>3.8</c:v>
                </c:pt>
                <c:pt idx="103">
                  <c:v>3.8</c:v>
                </c:pt>
                <c:pt idx="104">
                  <c:v>2</c:v>
                </c:pt>
                <c:pt idx="105">
                  <c:v>3.8</c:v>
                </c:pt>
                <c:pt idx="106">
                  <c:v>2.2999999999999998</c:v>
                </c:pt>
                <c:pt idx="107">
                  <c:v>4.7</c:v>
                </c:pt>
                <c:pt idx="108">
                  <c:v>3</c:v>
                </c:pt>
              </c:numCache>
            </c:numRef>
          </c:val>
          <c:extLst>
            <c:ext xmlns:c16="http://schemas.microsoft.com/office/drawing/2014/chart" uri="{C3380CC4-5D6E-409C-BE32-E72D297353CC}">
              <c16:uniqueId val="{00000004-3791-425F-93D4-A34CDF7FB73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ANALYSIS.xlsx]PPA!PivotTable15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PPA!$B$269</c:f>
              <c:strCache>
                <c:ptCount val="1"/>
                <c:pt idx="0">
                  <c:v>Total</c:v>
                </c:pt>
              </c:strCache>
            </c:strRef>
          </c:tx>
          <c:spPr>
            <a:solidFill>
              <a:schemeClr val="accent1"/>
            </a:solidFill>
            <a:ln>
              <a:noFill/>
            </a:ln>
            <a:effectLst/>
          </c:spPr>
          <c:invertIfNegative val="0"/>
          <c:cat>
            <c:strRef>
              <c:f>PPA!$A$270:$A$383</c:f>
              <c:strCache>
                <c:ptCount val="113"/>
                <c:pt idx="0">
                  <c:v>                                                                                                                              MAX</c:v>
                </c:pt>
                <c:pt idx="1">
                  <c:v>                                                                                                                             MIN</c:v>
                </c:pt>
                <c:pt idx="2">
                  <c:v>                                                                                                                            AVERAGE</c:v>
                </c:pt>
                <c:pt idx="3">
                  <c:v>1/2/3 Seater Elastic Sofa Cover,Living Room/Home Decor Chair Cover-Grey</c:v>
                </c:pt>
                <c:pt idx="4">
                  <c:v>100 Pcs Crochet Hook Tool Set Knitting Hook Set With Box</c:v>
                </c:pt>
                <c:pt idx="5">
                  <c:v>115  Piece Set Of Multifunctional Precision Screwdrivers</c:v>
                </c:pt>
                <c:pt idx="6">
                  <c:v>12 Litre Black Insulated Lunch Box</c:v>
                </c:pt>
                <c:pt idx="7">
                  <c:v>12 Litre Insulated Lunch Box Grey</c:v>
                </c:pt>
                <c:pt idx="8">
                  <c:v>120W Cordless Vacuum Cleaners Handheld Electric Vacuum Cleaner</c:v>
                </c:pt>
                <c:pt idx="9">
                  <c:v>12V 19500rpm Handheld Electric Angle Grinder Tool - UK - Yellow/Black</c:v>
                </c:pt>
                <c:pt idx="10">
                  <c:v>13 In 1 Home Repair Tools Box Kit Set</c:v>
                </c:pt>
                <c:pt idx="11">
                  <c:v>137 Pieces Cake Decorating Tool Set Baking Supplies</c:v>
                </c:pt>
                <c:pt idx="12">
                  <c:v>1PC Refrigerator Food Seal Pocket Fridge Bags</c:v>
                </c:pt>
                <c:pt idx="13">
                  <c:v>2 Pairs Cowhide Split Leather Work Gloves.32â„‰ Or Above Welding Gloves</c:v>
                </c:pt>
                <c:pt idx="14">
                  <c:v>220V 60W Electric Soldering Iron Kits With Tools, Tips, And Multimeter</c:v>
                </c:pt>
                <c:pt idx="15">
                  <c:v>24 Grid Wall-mounted Sundries Organiser Fabric Closet Bag Storage Rack</c:v>
                </c:pt>
                <c:pt idx="16">
                  <c:v>2PCS Ice Silk Square Cushion Cover Pillowcases - 65x65cm</c:v>
                </c:pt>
                <c:pt idx="17">
                  <c:v>2pcs Solar Street Light Flood Light Outdoor</c:v>
                </c:pt>
                <c:pt idx="18">
                  <c:v>2PCS/LOT Solar LED Outdoor Intelligent Light Controlled Wall Lamp</c:v>
                </c:pt>
                <c:pt idx="19">
                  <c:v>32PCS Portable Cordless Drill Set With Cyclic Battery Drive -26 Variable Speed</c:v>
                </c:pt>
                <c:pt idx="20">
                  <c:v>380ML USB Rechargeable Portable Small Blenders And Juicers</c:v>
                </c:pt>
                <c:pt idx="21">
                  <c:v>3D Waterproof EVA Plastic Shower Curtain 1.8*2Mtrs</c:v>
                </c:pt>
                <c:pt idx="22">
                  <c:v>3PCS Rotary Scraper Thermomix For Kitchen</c:v>
                </c:pt>
                <c:pt idx="23">
                  <c:v>3PCS Single Head Knitting Crochet Sweater Needle Set</c:v>
                </c:pt>
                <c:pt idx="24">
                  <c:v>4 Piece Coloured Stainless Steel Kitchenware Set</c:v>
                </c:pt>
                <c:pt idx="25">
                  <c:v>40cm Gold DIY Acrylic Wall Sticker Clock</c:v>
                </c:pt>
                <c:pt idx="26">
                  <c:v>4M Float Switch Water Level Controller -Water Tank</c:v>
                </c:pt>
                <c:pt idx="27">
                  <c:v>4pcs Bathroom/Kitchen Towel Rack,Roll Paper Holder,Towel Bars,Hook</c:v>
                </c:pt>
                <c:pt idx="28">
                  <c:v>5 Pieces/set Of Stainless Steel Induction Cooker Pots</c:v>
                </c:pt>
                <c:pt idx="29">
                  <c:v>52 Pieces Cake Decorating Tool Set Gift Kit Baking Supplies</c:v>
                </c:pt>
                <c:pt idx="30">
                  <c:v>53 Pieces/Set Yarn Knitting Crochet Hooks With Bag - Pansies</c:v>
                </c:pt>
                <c:pt idx="31">
                  <c:v>53Pcs/Set Yarn Knitting Crochet Hooks With Bag - Fortune Cat</c:v>
                </c:pt>
                <c:pt idx="32">
                  <c:v>5m Waterproof Spherical LED String Lights Outdoor Ball Chain Lights Party Lighting Decoration Adjustable</c:v>
                </c:pt>
                <c:pt idx="33">
                  <c:v>5-PCS Stainless Steel Cooking Pot Set With Steamed Slices</c:v>
                </c:pt>
                <c:pt idx="34">
                  <c:v>6 In 1 Bottle Can Opener Multifunctional Easy Opener</c:v>
                </c:pt>
                <c:pt idx="35">
                  <c:v>6 Layers Steel Pipe Assembling Dustproof Storage Shoe Cabinet</c:v>
                </c:pt>
                <c:pt idx="36">
                  <c:v>60W Hot Melt Glue Sprayer - Efficient And Stable Glue Dispensing</c:v>
                </c:pt>
                <c:pt idx="37">
                  <c:v>7PCS Silicone Thumb Knife Finger Protector Vegetable Harvesting Knife</c:v>
                </c:pt>
                <c:pt idx="38">
                  <c:v>7-piece Set Of Storage Bags, Travel Storage Bags, Shoe Bags</c:v>
                </c:pt>
                <c:pt idx="39">
                  <c:v>8in1 Screwdriver With LED Light</c:v>
                </c:pt>
                <c:pt idx="40">
                  <c:v>9pcs Gas Mask, For Painting, Dust, Formaldehyde Grinding, Polishing</c:v>
                </c:pt>
                <c:pt idx="41">
                  <c:v>Agapeon Toothbrush Holder And Toothpaste Dispenser</c:v>
                </c:pt>
                <c:pt idx="42">
                  <c:v>Angle Measuring Tool Full Metal Multi Angle Measuring Tool</c:v>
                </c:pt>
                <c:pt idx="43">
                  <c:v>Anti-Skid Absorbent Insulation Coaster  For Home Office</c:v>
                </c:pt>
                <c:pt idx="44">
                  <c:v>Artificial Potted Flowers Room Decorative Flowers (2 Pieces)</c:v>
                </c:pt>
                <c:pt idx="45">
                  <c:v>Baby Early Education Shape And Color Cognitive Training Toys</c:v>
                </c:pt>
                <c:pt idx="46">
                  <c:v>Balloon Insert, Birthday Party Balloon Set, PU Leather</c:v>
                </c:pt>
                <c:pt idx="47">
                  <c:v>Bedroom Simple Floor Hanging Clothes Rack Single Pole Hat Rack - White</c:v>
                </c:pt>
                <c:pt idx="48">
                  <c:v>Black Simple Water Cup Wine Coaster Anti Slip Absorbent</c:v>
                </c:pt>
                <c:pt idx="49">
                  <c:v>Brush &amp; Paintbrush Cleaning Tool Pink</c:v>
                </c:pt>
                <c:pt idx="50">
                  <c:v>Car Phone Charging Stand</c:v>
                </c:pt>
                <c:pt idx="51">
                  <c:v>Cartoon Car Decoration Cute Individuality For Car Home Desk</c:v>
                </c:pt>
                <c:pt idx="52">
                  <c:v>Cartoon Embroidered Mini Towel Bear Cotton Wash Cloth Hand 4pcs</c:v>
                </c:pt>
                <c:pt idx="53">
                  <c:v>Christmas Elk Fence Yard Lawn Decorations Cute For Holidays</c:v>
                </c:pt>
                <c:pt idx="54">
                  <c:v>Christmas Fence Garden Decorations Outdoor For Holiday Home</c:v>
                </c:pt>
                <c:pt idx="55">
                  <c:v>Classic Black Cat Cotton Hemp Pillow Case For Home Car</c:v>
                </c:pt>
                <c:pt idx="56">
                  <c:v>Creative Owl Shape Keychain Black</c:v>
                </c:pt>
                <c:pt idx="57">
                  <c:v>Cushion Silicone Butt Cushion Summer Ice Cushion Honeycomb Gel Cushion</c:v>
                </c:pt>
                <c:pt idx="58">
                  <c:v>Cute Christmas Fence Garden Decorations For Holiday Home</c:v>
                </c:pt>
                <c:pt idx="59">
                  <c:v>Desk Foldable Fan Adjustable Fan Strong Wind 3 Gear Usb</c:v>
                </c:pt>
                <c:pt idx="60">
                  <c:v>DIY File Folder, Office Drawer File Holder, Pen Holder, Desktop Storage Rack</c:v>
                </c:pt>
                <c:pt idx="61">
                  <c:v>Electric LED UV Mosquito Killer Lamp, Outdoor/Indoor Fly Killer Trap Light -USB</c:v>
                </c:pt>
                <c:pt idx="62">
                  <c:v>Electronic Digital Display Vernier Caliper</c:v>
                </c:pt>
                <c:pt idx="63">
                  <c:v>Exfoliate And Exfoliate Face Towel - Black</c:v>
                </c:pt>
                <c:pt idx="64">
                  <c:v>Foldable Overbed Table/Desk</c:v>
                </c:pt>
                <c:pt idx="65">
                  <c:v>Genebre 115 In 1 Screwdriver Repairing Tool Set For IPhone Cellphone Hand Tool</c:v>
                </c:pt>
                <c:pt idx="66">
                  <c:v>Household Pineapple Peeler Peeler</c:v>
                </c:pt>
                <c:pt idx="67">
                  <c:v>Intelligent  LED Body Sensor Wireless Lighting Night Light USB</c:v>
                </c:pt>
                <c:pt idx="68">
                  <c:v>Konka Healty Electric Kettle, 24-hour Heat Preservation,1.5L,800W, White</c:v>
                </c:pt>
                <c:pt idx="69">
                  <c:v>Large Lazy Inflatable Sofa Chairs PVC Lounger Seat Bag</c:v>
                </c:pt>
                <c:pt idx="70">
                  <c:v>LASA 3 Tier Bamboo Shoe Bench Storage Shelf</c:v>
                </c:pt>
                <c:pt idx="71">
                  <c:v>LASA Aluminum Folding Truck Hand Cart - 68kg Max</c:v>
                </c:pt>
                <c:pt idx="72">
                  <c:v>LASA Digital Thermometer And Hydrometer</c:v>
                </c:pt>
                <c:pt idx="73">
                  <c:v>LASA FOLDING TABLE SERVING STAND</c:v>
                </c:pt>
                <c:pt idx="74">
                  <c:v>LASA Stainless Steel Double Wall Mount Soap Dispenser - 500ml</c:v>
                </c:pt>
                <c:pt idx="75">
                  <c:v>LED Eye Protection  Desk Lamp , Study, Reading, USB Fan - Double Pen Holder</c:v>
                </c:pt>
                <c:pt idx="76">
                  <c:v>LED Romantic Spaceship Starry Sky Projector,Children's Bedroom Night Light-Blue</c:v>
                </c:pt>
                <c:pt idx="77">
                  <c:v>LED Solar Street Light-fake Camera</c:v>
                </c:pt>
                <c:pt idx="78">
                  <c:v>LED Wall Digital Alarm Clock Study Home 12 / 24H Clock Calendar</c:v>
                </c:pt>
                <c:pt idx="79">
                  <c:v>Memory Foam Neck Pillow Cover, With Pillow Core - 50*30cm</c:v>
                </c:pt>
                <c:pt idx="80">
                  <c:v>Metal Decorative Hooks Key Hangers Entryway Wall Hooks Towel Hooks - Home</c:v>
                </c:pt>
                <c:pt idx="81">
                  <c:v>Metal Wall Clock Silver Dial Crystal Jewelry Round Home Decoration Wall Clock</c:v>
                </c:pt>
                <c:pt idx="82">
                  <c:v>Modern Sofa Throw Pillow Cover-45x45cm-Blue&amp;Red</c:v>
                </c:pt>
                <c:pt idx="83">
                  <c:v>Multifunction Laser Level With Adjustment Tripod</c:v>
                </c:pt>
                <c:pt idx="84">
                  <c:v>Multifunctional Hanging Storage Box Storage Bag (4 Layers)</c:v>
                </c:pt>
                <c:pt idx="85">
                  <c:v>MultiFunctional Storage Rack Multi-layer Bookshelf</c:v>
                </c:pt>
                <c:pt idx="86">
                  <c:v>Multi-purpose Rice Drainage Basket And Fruit And Vegetable Drainage Sieve</c:v>
                </c:pt>
                <c:pt idx="87">
                  <c:v>Mythco 120COB Solar Wall Ligt With Motion Sensor And Remote Control 3 Modes</c:v>
                </c:pt>
                <c:pt idx="88">
                  <c:v>Office Chair Lumbar Back Support Spine Posture Correction Pillow Car Cushion</c:v>
                </c:pt>
                <c:pt idx="89">
                  <c:v>Outdoor Portable Water Bottle With Medicine Box - 600ML - Black</c:v>
                </c:pt>
                <c:pt idx="90">
                  <c:v>Peacock  Throw Pillow Cushion Case For Home Car</c:v>
                </c:pt>
                <c:pt idx="91">
                  <c:v>Pen Grips For Kids Pen Grip Posture Correction Tool For Kids</c:v>
                </c:pt>
                <c:pt idx="92">
                  <c:v>Pilates Cloth Bag Waterproof Durable High Capacity Purple</c:v>
                </c:pt>
                <c:pt idx="93">
                  <c:v>Portable Home Small Air Humidifier 3-Speed Fan - Green</c:v>
                </c:pt>
                <c:pt idx="94">
                  <c:v>Portable Mini Cordless Car Vacuum Cleaner - Blue</c:v>
                </c:pt>
                <c:pt idx="95">
                  <c:v>Portable Soap Dispenser Kitchen Detergent Press Box Kitchen Tools</c:v>
                </c:pt>
                <c:pt idx="96">
                  <c:v>Portable Wardrobe Nonwoven With 3 Hanging Rods And 6 Storage Shelves</c:v>
                </c:pt>
                <c:pt idx="97">
                  <c:v>Portable Wine Table With Folding Round Table</c:v>
                </c:pt>
                <c:pt idx="98">
                  <c:v>Punch-free Great Load Bearing Bathroom Storage Rack Wall Shelf-White</c:v>
                </c:pt>
                <c:pt idx="99">
                  <c:v>Sewing Machine Needle Threader Stitch Insertion Tool Automatic Quick Sewing</c:v>
                </c:pt>
                <c:pt idx="100">
                  <c:v>Shower Cap Wide Elastic Band Cover Reusable Bashroom Cap</c:v>
                </c:pt>
                <c:pt idx="101">
                  <c:v>Shower Nozzle Cleaning Unclogging Needle Mini Crevice Small Hole Cleaning Brush</c:v>
                </c:pt>
                <c:pt idx="102">
                  <c:v>Simple Metal Dog Art Sculpture Decoration For Home Office</c:v>
                </c:pt>
                <c:pt idx="103">
                  <c:v>Thickening Multipurpose Non Stick Easy To Clean Heat Resistant Spoon Pad</c:v>
                </c:pt>
                <c:pt idx="104">
                  <c:v>VIC Wireless Vacuum Cleaner Dual Use For Home And Car 120W High Power Powerful</c:v>
                </c:pt>
                <c:pt idx="105">
                  <c:v>Wall Clock With Hidden Safe Box</c:v>
                </c:pt>
                <c:pt idx="106">
                  <c:v>Wall Mount Automatic Toothpaste Dispenser Toothbrush Holder Toothpaste Squeezer</c:v>
                </c:pt>
                <c:pt idx="107">
                  <c:v>Wall-mounted Sticker Punch-free Plug Fixer</c:v>
                </c:pt>
                <c:pt idx="108">
                  <c:v>Wall-Mounted Toothbrush Toothpaste Holder With Multiple Slots</c:v>
                </c:pt>
                <c:pt idx="109">
                  <c:v>Watercolour Gold Foil Textured Print Pillow Cover</c:v>
                </c:pt>
                <c:pt idx="110">
                  <c:v>Weighing Scale Digital Bathroom Body Fat Scale USB-Black</c:v>
                </c:pt>
                <c:pt idx="111">
                  <c:v>Wrought Iron Bathroom Shelf Wall Mounted Free Punch Toilet Rack</c:v>
                </c:pt>
                <c:pt idx="112">
                  <c:v>(blank)</c:v>
                </c:pt>
              </c:strCache>
            </c:strRef>
          </c:cat>
          <c:val>
            <c:numRef>
              <c:f>PPA!$B$270:$B$383</c:f>
              <c:numCache>
                <c:formatCode>0%</c:formatCode>
                <c:ptCount val="113"/>
                <c:pt idx="3">
                  <c:v>0.38</c:v>
                </c:pt>
                <c:pt idx="4">
                  <c:v>0.34</c:v>
                </c:pt>
                <c:pt idx="5">
                  <c:v>0.38</c:v>
                </c:pt>
                <c:pt idx="6">
                  <c:v>0.32</c:v>
                </c:pt>
                <c:pt idx="7">
                  <c:v>0.34</c:v>
                </c:pt>
                <c:pt idx="8">
                  <c:v>0.49</c:v>
                </c:pt>
                <c:pt idx="9">
                  <c:v>0.27</c:v>
                </c:pt>
                <c:pt idx="10">
                  <c:v>0.45</c:v>
                </c:pt>
                <c:pt idx="11">
                  <c:v>0.24</c:v>
                </c:pt>
                <c:pt idx="12">
                  <c:v>0.24</c:v>
                </c:pt>
                <c:pt idx="13">
                  <c:v>0.02</c:v>
                </c:pt>
                <c:pt idx="14">
                  <c:v>0.09</c:v>
                </c:pt>
                <c:pt idx="15">
                  <c:v>0.01</c:v>
                </c:pt>
                <c:pt idx="16">
                  <c:v>0.5</c:v>
                </c:pt>
                <c:pt idx="17">
                  <c:v>0.38</c:v>
                </c:pt>
                <c:pt idx="18">
                  <c:v>0.47</c:v>
                </c:pt>
                <c:pt idx="19">
                  <c:v>0.39</c:v>
                </c:pt>
                <c:pt idx="20">
                  <c:v>0.5</c:v>
                </c:pt>
                <c:pt idx="21">
                  <c:v>0.49</c:v>
                </c:pt>
                <c:pt idx="22">
                  <c:v>0.43</c:v>
                </c:pt>
                <c:pt idx="23">
                  <c:v>0.53</c:v>
                </c:pt>
                <c:pt idx="24">
                  <c:v>0.49</c:v>
                </c:pt>
                <c:pt idx="25">
                  <c:v>0.47</c:v>
                </c:pt>
                <c:pt idx="26">
                  <c:v>0.49</c:v>
                </c:pt>
                <c:pt idx="27">
                  <c:v>0.42</c:v>
                </c:pt>
                <c:pt idx="28">
                  <c:v>0.13</c:v>
                </c:pt>
                <c:pt idx="29">
                  <c:v>0.3</c:v>
                </c:pt>
                <c:pt idx="30">
                  <c:v>0.27</c:v>
                </c:pt>
                <c:pt idx="31">
                  <c:v>0.27</c:v>
                </c:pt>
                <c:pt idx="32">
                  <c:v>0.36</c:v>
                </c:pt>
                <c:pt idx="33">
                  <c:v>0.55000000000000004</c:v>
                </c:pt>
                <c:pt idx="34">
                  <c:v>0.64</c:v>
                </c:pt>
                <c:pt idx="35">
                  <c:v>0.47</c:v>
                </c:pt>
                <c:pt idx="36">
                  <c:v>0.33</c:v>
                </c:pt>
                <c:pt idx="37">
                  <c:v>0.49</c:v>
                </c:pt>
                <c:pt idx="38">
                  <c:v>0.47</c:v>
                </c:pt>
                <c:pt idx="39">
                  <c:v>0.42</c:v>
                </c:pt>
                <c:pt idx="40">
                  <c:v>0.41</c:v>
                </c:pt>
                <c:pt idx="41">
                  <c:v>0.45</c:v>
                </c:pt>
                <c:pt idx="42">
                  <c:v>0.49</c:v>
                </c:pt>
                <c:pt idx="43">
                  <c:v>0.51</c:v>
                </c:pt>
                <c:pt idx="44">
                  <c:v>0.45</c:v>
                </c:pt>
                <c:pt idx="45">
                  <c:v>0.49</c:v>
                </c:pt>
                <c:pt idx="46">
                  <c:v>0.42</c:v>
                </c:pt>
                <c:pt idx="47">
                  <c:v>0.49</c:v>
                </c:pt>
                <c:pt idx="48">
                  <c:v>0.47</c:v>
                </c:pt>
                <c:pt idx="49">
                  <c:v>0.5</c:v>
                </c:pt>
                <c:pt idx="50">
                  <c:v>0.49</c:v>
                </c:pt>
                <c:pt idx="51">
                  <c:v>0.49</c:v>
                </c:pt>
                <c:pt idx="52">
                  <c:v>0.34</c:v>
                </c:pt>
                <c:pt idx="53">
                  <c:v>0.5</c:v>
                </c:pt>
                <c:pt idx="54">
                  <c:v>0.48</c:v>
                </c:pt>
                <c:pt idx="55">
                  <c:v>0.53</c:v>
                </c:pt>
                <c:pt idx="56">
                  <c:v>0.61</c:v>
                </c:pt>
                <c:pt idx="57">
                  <c:v>0.04</c:v>
                </c:pt>
                <c:pt idx="58">
                  <c:v>0.41</c:v>
                </c:pt>
                <c:pt idx="59">
                  <c:v>0.37</c:v>
                </c:pt>
                <c:pt idx="60">
                  <c:v>0.4</c:v>
                </c:pt>
                <c:pt idx="61">
                  <c:v>0.47</c:v>
                </c:pt>
                <c:pt idx="62">
                  <c:v>0.35</c:v>
                </c:pt>
                <c:pt idx="63">
                  <c:v>0.52</c:v>
                </c:pt>
                <c:pt idx="64">
                  <c:v>0.23</c:v>
                </c:pt>
                <c:pt idx="65">
                  <c:v>0.2</c:v>
                </c:pt>
                <c:pt idx="66">
                  <c:v>0.49</c:v>
                </c:pt>
                <c:pt idx="67">
                  <c:v>0.52</c:v>
                </c:pt>
                <c:pt idx="68">
                  <c:v>0.21</c:v>
                </c:pt>
                <c:pt idx="69">
                  <c:v>0.28999999999999998</c:v>
                </c:pt>
                <c:pt idx="70">
                  <c:v>0.54</c:v>
                </c:pt>
                <c:pt idx="71">
                  <c:v>0.49</c:v>
                </c:pt>
                <c:pt idx="72">
                  <c:v>0.42</c:v>
                </c:pt>
                <c:pt idx="73">
                  <c:v>0.55000000000000004</c:v>
                </c:pt>
                <c:pt idx="74">
                  <c:v>0.38</c:v>
                </c:pt>
                <c:pt idx="75">
                  <c:v>0.48</c:v>
                </c:pt>
                <c:pt idx="76">
                  <c:v>0.35</c:v>
                </c:pt>
                <c:pt idx="77">
                  <c:v>0.34</c:v>
                </c:pt>
                <c:pt idx="78">
                  <c:v>0.19</c:v>
                </c:pt>
                <c:pt idx="79">
                  <c:v>0.46</c:v>
                </c:pt>
                <c:pt idx="80">
                  <c:v>0.47</c:v>
                </c:pt>
                <c:pt idx="81">
                  <c:v>0.04</c:v>
                </c:pt>
                <c:pt idx="82">
                  <c:v>0.5</c:v>
                </c:pt>
                <c:pt idx="83">
                  <c:v>0.33</c:v>
                </c:pt>
                <c:pt idx="84">
                  <c:v>0.43</c:v>
                </c:pt>
                <c:pt idx="85">
                  <c:v>0.46</c:v>
                </c:pt>
                <c:pt idx="86">
                  <c:v>0.03</c:v>
                </c:pt>
                <c:pt idx="87">
                  <c:v>0.54</c:v>
                </c:pt>
                <c:pt idx="88">
                  <c:v>0.14000000000000001</c:v>
                </c:pt>
                <c:pt idx="89">
                  <c:v>0.11</c:v>
                </c:pt>
                <c:pt idx="90">
                  <c:v>0.46</c:v>
                </c:pt>
                <c:pt idx="91">
                  <c:v>0.02</c:v>
                </c:pt>
                <c:pt idx="92">
                  <c:v>0.22</c:v>
                </c:pt>
                <c:pt idx="93">
                  <c:v>0.26</c:v>
                </c:pt>
                <c:pt idx="94">
                  <c:v>0.25</c:v>
                </c:pt>
                <c:pt idx="95">
                  <c:v>0.02</c:v>
                </c:pt>
                <c:pt idx="96">
                  <c:v>0.18</c:v>
                </c:pt>
                <c:pt idx="97">
                  <c:v>0.48</c:v>
                </c:pt>
                <c:pt idx="98">
                  <c:v>0.41</c:v>
                </c:pt>
                <c:pt idx="99">
                  <c:v>0.48</c:v>
                </c:pt>
                <c:pt idx="100">
                  <c:v>0.02</c:v>
                </c:pt>
                <c:pt idx="101">
                  <c:v>0.02</c:v>
                </c:pt>
                <c:pt idx="102">
                  <c:v>0.45</c:v>
                </c:pt>
                <c:pt idx="103">
                  <c:v>0.02</c:v>
                </c:pt>
                <c:pt idx="104">
                  <c:v>0.22</c:v>
                </c:pt>
                <c:pt idx="105">
                  <c:v>0.5</c:v>
                </c:pt>
                <c:pt idx="106">
                  <c:v>0.08</c:v>
                </c:pt>
                <c:pt idx="107">
                  <c:v>0.5</c:v>
                </c:pt>
                <c:pt idx="108">
                  <c:v>0.14000000000000001</c:v>
                </c:pt>
                <c:pt idx="109">
                  <c:v>0.43</c:v>
                </c:pt>
                <c:pt idx="110">
                  <c:v>0.37</c:v>
                </c:pt>
                <c:pt idx="111">
                  <c:v>0.43</c:v>
                </c:pt>
              </c:numCache>
            </c:numRef>
          </c:val>
          <c:extLst>
            <c:ext xmlns:c16="http://schemas.microsoft.com/office/drawing/2014/chart" uri="{C3380CC4-5D6E-409C-BE32-E72D297353CC}">
              <c16:uniqueId val="{00000000-3E47-496D-B775-56E54649D8CF}"/>
            </c:ext>
          </c:extLst>
        </c:ser>
        <c:dLbls>
          <c:showLegendKey val="0"/>
          <c:showVal val="0"/>
          <c:showCatName val="0"/>
          <c:showSerName val="0"/>
          <c:showPercent val="0"/>
          <c:showBubbleSize val="0"/>
        </c:dLbls>
        <c:gapWidth val="219"/>
        <c:axId val="1011814223"/>
        <c:axId val="1011816303"/>
      </c:barChart>
      <c:catAx>
        <c:axId val="101181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16303"/>
        <c:crosses val="autoZero"/>
        <c:auto val="1"/>
        <c:lblAlgn val="ctr"/>
        <c:lblOffset val="100"/>
        <c:noMultiLvlLbl val="0"/>
      </c:catAx>
      <c:valAx>
        <c:axId val="1011816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1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2.png"/><Relationship Id="rId1" Type="http://schemas.openxmlformats.org/officeDocument/2006/relationships/customXml" Target="../ink/ink2.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ustomXml" Target="../ink/ink5.xml"/><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ustomXml" Target="../ink/ink4.xml"/><Relationship Id="rId11" Type="http://schemas.openxmlformats.org/officeDocument/2006/relationships/chart" Target="../charts/chart7.xml"/><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4</xdr:col>
      <xdr:colOff>888525</xdr:colOff>
      <xdr:row>6</xdr:row>
      <xdr:rowOff>89445</xdr:rowOff>
    </xdr:from>
    <xdr:to>
      <xdr:col>5</xdr:col>
      <xdr:colOff>435105</xdr:colOff>
      <xdr:row>20</xdr:row>
      <xdr:rowOff>130515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74654AFC-DD10-FBD1-AC44-DD21C5F18176}"/>
                </a:ext>
              </a:extLst>
            </xdr14:cNvPr>
            <xdr14:cNvContentPartPr/>
          </xdr14:nvContentPartPr>
          <xdr14:nvPr macro=""/>
          <xdr14:xfrm>
            <a:off x="10070625" y="1175295"/>
            <a:ext cx="803880" cy="2574720"/>
          </xdr14:xfrm>
        </xdr:contentPart>
      </mc:Choice>
      <mc:Fallback xmlns="">
        <xdr:pic>
          <xdr:nvPicPr>
            <xdr:cNvPr id="2" name="Ink 1">
              <a:extLst>
                <a:ext uri="{FF2B5EF4-FFF2-40B4-BE49-F238E27FC236}">
                  <a16:creationId xmlns:a16="http://schemas.microsoft.com/office/drawing/2014/main" id="{74654AFC-DD10-FBD1-AC44-DD21C5F18176}"/>
                </a:ext>
              </a:extLst>
            </xdr:cNvPr>
            <xdr:cNvPicPr/>
          </xdr:nvPicPr>
          <xdr:blipFill>
            <a:blip xmlns:r="http://schemas.openxmlformats.org/officeDocument/2006/relationships" r:embed="rId2"/>
            <a:stretch>
              <a:fillRect/>
            </a:stretch>
          </xdr:blipFill>
          <xdr:spPr>
            <a:xfrm>
              <a:off x="10052985" y="1067655"/>
              <a:ext cx="839520" cy="27903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3381480</xdr:colOff>
      <xdr:row>0</xdr:row>
      <xdr:rowOff>75960</xdr:rowOff>
    </xdr:from>
    <xdr:to>
      <xdr:col>0</xdr:col>
      <xdr:colOff>3381840</xdr:colOff>
      <xdr:row>0</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4" name="Ink 3">
              <a:extLst>
                <a:ext uri="{FF2B5EF4-FFF2-40B4-BE49-F238E27FC236}">
                  <a16:creationId xmlns:a16="http://schemas.microsoft.com/office/drawing/2014/main" id="{F6A60067-F0BA-1FB7-B257-4424CC71908F}"/>
                </a:ext>
              </a:extLst>
            </xdr14:cNvPr>
            <xdr14:cNvContentPartPr/>
          </xdr14:nvContentPartPr>
          <xdr14:nvPr macro=""/>
          <xdr14:xfrm>
            <a:off x="3381480" y="75960"/>
            <a:ext cx="360" cy="360"/>
          </xdr14:xfrm>
        </xdr:contentPart>
      </mc:Choice>
      <mc:Fallback xmlns="">
        <xdr:pic>
          <xdr:nvPicPr>
            <xdr:cNvPr id="4" name="Ink 3">
              <a:extLst>
                <a:ext uri="{FF2B5EF4-FFF2-40B4-BE49-F238E27FC236}">
                  <a16:creationId xmlns:a16="http://schemas.microsoft.com/office/drawing/2014/main" id="{F6A60067-F0BA-1FB7-B257-4424CC71908F}"/>
                </a:ext>
              </a:extLst>
            </xdr:cNvPr>
            <xdr:cNvPicPr/>
          </xdr:nvPicPr>
          <xdr:blipFill>
            <a:blip xmlns:r="http://schemas.openxmlformats.org/officeDocument/2006/relationships" r:embed="rId2"/>
            <a:stretch>
              <a:fillRect/>
            </a:stretch>
          </xdr:blipFill>
          <xdr:spPr>
            <a:xfrm>
              <a:off x="3363480" y="-31680"/>
              <a:ext cx="36000" cy="216000"/>
            </a:xfrm>
            <a:prstGeom prst="rect">
              <a:avLst/>
            </a:prstGeom>
          </xdr:spPr>
        </xdr:pic>
      </mc:Fallback>
    </mc:AlternateContent>
    <xdr:clientData/>
  </xdr:twoCellAnchor>
  <xdr:twoCellAnchor editAs="oneCell">
    <xdr:from>
      <xdr:col>0</xdr:col>
      <xdr:colOff>133200</xdr:colOff>
      <xdr:row>1</xdr:row>
      <xdr:rowOff>66345</xdr:rowOff>
    </xdr:from>
    <xdr:to>
      <xdr:col>0</xdr:col>
      <xdr:colOff>133560</xdr:colOff>
      <xdr:row>1</xdr:row>
      <xdr:rowOff>66705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7" name="Ink 6">
              <a:extLst>
                <a:ext uri="{FF2B5EF4-FFF2-40B4-BE49-F238E27FC236}">
                  <a16:creationId xmlns:a16="http://schemas.microsoft.com/office/drawing/2014/main" id="{211197F9-9B90-6001-F817-47114A6F830C}"/>
                </a:ext>
              </a:extLst>
            </xdr14:cNvPr>
            <xdr14:cNvContentPartPr/>
          </xdr14:nvContentPartPr>
          <xdr14:nvPr macro=""/>
          <xdr14:xfrm>
            <a:off x="133200" y="247320"/>
            <a:ext cx="360" cy="360"/>
          </xdr14:xfrm>
        </xdr:contentPart>
      </mc:Choice>
      <mc:Fallback xmlns="">
        <xdr:pic>
          <xdr:nvPicPr>
            <xdr:cNvPr id="7" name="Ink 6">
              <a:extLst>
                <a:ext uri="{FF2B5EF4-FFF2-40B4-BE49-F238E27FC236}">
                  <a16:creationId xmlns:a16="http://schemas.microsoft.com/office/drawing/2014/main" id="{211197F9-9B90-6001-F817-47114A6F830C}"/>
                </a:ext>
              </a:extLst>
            </xdr:cNvPr>
            <xdr:cNvPicPr/>
          </xdr:nvPicPr>
          <xdr:blipFill>
            <a:blip xmlns:r="http://schemas.openxmlformats.org/officeDocument/2006/relationships" r:embed="rId4"/>
            <a:stretch>
              <a:fillRect/>
            </a:stretch>
          </xdr:blipFill>
          <xdr:spPr>
            <a:xfrm>
              <a:off x="115560" y="139680"/>
              <a:ext cx="36000" cy="216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219076</xdr:colOff>
      <xdr:row>7</xdr:row>
      <xdr:rowOff>119063</xdr:rowOff>
    </xdr:from>
    <xdr:to>
      <xdr:col>5</xdr:col>
      <xdr:colOff>457202</xdr:colOff>
      <xdr:row>21</xdr:row>
      <xdr:rowOff>114300</xdr:rowOff>
    </xdr:to>
    <xdr:graphicFrame macro="">
      <xdr:nvGraphicFramePr>
        <xdr:cNvPr id="12" name="Chart 11">
          <a:extLst>
            <a:ext uri="{FF2B5EF4-FFF2-40B4-BE49-F238E27FC236}">
              <a16:creationId xmlns:a16="http://schemas.microsoft.com/office/drawing/2014/main" id="{873DA926-AC61-47F3-AEFE-0BBC4FAE0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7</xdr:row>
      <xdr:rowOff>128588</xdr:rowOff>
    </xdr:from>
    <xdr:to>
      <xdr:col>11</xdr:col>
      <xdr:colOff>514349</xdr:colOff>
      <xdr:row>21</xdr:row>
      <xdr:rowOff>90488</xdr:rowOff>
    </xdr:to>
    <xdr:graphicFrame macro="">
      <xdr:nvGraphicFramePr>
        <xdr:cNvPr id="14" name="Chart 13">
          <a:extLst>
            <a:ext uri="{FF2B5EF4-FFF2-40B4-BE49-F238E27FC236}">
              <a16:creationId xmlns:a16="http://schemas.microsoft.com/office/drawing/2014/main" id="{0451DCC3-7031-4015-AFC2-2162734B0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9523</xdr:colOff>
      <xdr:row>41</xdr:row>
      <xdr:rowOff>71438</xdr:rowOff>
    </xdr:from>
    <xdr:to>
      <xdr:col>11</xdr:col>
      <xdr:colOff>471487</xdr:colOff>
      <xdr:row>53</xdr:row>
      <xdr:rowOff>52387</xdr:rowOff>
    </xdr:to>
    <xdr:graphicFrame macro="">
      <xdr:nvGraphicFramePr>
        <xdr:cNvPr id="15" name="Chart 14">
          <a:extLst>
            <a:ext uri="{FF2B5EF4-FFF2-40B4-BE49-F238E27FC236}">
              <a16:creationId xmlns:a16="http://schemas.microsoft.com/office/drawing/2014/main" id="{33D3DB13-59D7-4BA5-B967-0FC2D2C5B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219075</xdr:colOff>
      <xdr:row>26</xdr:row>
      <xdr:rowOff>9526</xdr:rowOff>
    </xdr:from>
    <xdr:to>
      <xdr:col>5</xdr:col>
      <xdr:colOff>428626</xdr:colOff>
      <xdr:row>38</xdr:row>
      <xdr:rowOff>100012</xdr:rowOff>
    </xdr:to>
    <xdr:graphicFrame macro="">
      <xdr:nvGraphicFramePr>
        <xdr:cNvPr id="16" name="Chart 15">
          <a:extLst>
            <a:ext uri="{FF2B5EF4-FFF2-40B4-BE49-F238E27FC236}">
              <a16:creationId xmlns:a16="http://schemas.microsoft.com/office/drawing/2014/main" id="{95CBB1EA-E135-4849-9C24-B34B3350C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590549</xdr:colOff>
      <xdr:row>26</xdr:row>
      <xdr:rowOff>2</xdr:rowOff>
    </xdr:from>
    <xdr:to>
      <xdr:col>11</xdr:col>
      <xdr:colOff>547688</xdr:colOff>
      <xdr:row>38</xdr:row>
      <xdr:rowOff>133352</xdr:rowOff>
    </xdr:to>
    <xdr:graphicFrame macro="">
      <xdr:nvGraphicFramePr>
        <xdr:cNvPr id="17" name="Chart 16">
          <a:extLst>
            <a:ext uri="{FF2B5EF4-FFF2-40B4-BE49-F238E27FC236}">
              <a16:creationId xmlns:a16="http://schemas.microsoft.com/office/drawing/2014/main" id="{BFB1BB8B-4475-48CD-96F2-4D62E28D3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409576</xdr:colOff>
      <xdr:row>27</xdr:row>
      <xdr:rowOff>33337</xdr:rowOff>
    </xdr:from>
    <xdr:to>
      <xdr:col>18</xdr:col>
      <xdr:colOff>295276</xdr:colOff>
      <xdr:row>34</xdr:row>
      <xdr:rowOff>4761</xdr:rowOff>
    </xdr:to>
    <mc:AlternateContent xmlns:mc="http://schemas.openxmlformats.org/markup-compatibility/2006" xmlns:a14="http://schemas.microsoft.com/office/drawing/2010/main">
      <mc:Choice Requires="a14">
        <xdr:graphicFrame macro="">
          <xdr:nvGraphicFramePr>
            <xdr:cNvPr id="22" name="Rating  Category 3">
              <a:extLst>
                <a:ext uri="{FF2B5EF4-FFF2-40B4-BE49-F238E27FC236}">
                  <a16:creationId xmlns:a16="http://schemas.microsoft.com/office/drawing/2014/main" id="{34EA9521-2CBE-408E-A282-CCFD93A2D09C}"/>
                </a:ext>
              </a:extLst>
            </xdr:cNvPr>
            <xdr:cNvGraphicFramePr/>
          </xdr:nvGraphicFramePr>
          <xdr:xfrm>
            <a:off x="0" y="0"/>
            <a:ext cx="0" cy="0"/>
          </xdr:xfrm>
          <a:graphic>
            <a:graphicData uri="http://schemas.microsoft.com/office/drawing/2010/slicer">
              <sle:slicer xmlns:sle="http://schemas.microsoft.com/office/drawing/2010/slicer" name="Rating  Category 3"/>
            </a:graphicData>
          </a:graphic>
        </xdr:graphicFrame>
      </mc:Choice>
      <mc:Fallback xmlns="">
        <xdr:sp macro="" textlink="">
          <xdr:nvSpPr>
            <xdr:cNvPr id="0" name=""/>
            <xdr:cNvSpPr>
              <a:spLocks noTextEdit="1"/>
            </xdr:cNvSpPr>
          </xdr:nvSpPr>
          <xdr:spPr>
            <a:xfrm>
              <a:off x="10125076" y="4919662"/>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271464</xdr:colOff>
      <xdr:row>7</xdr:row>
      <xdr:rowOff>142876</xdr:rowOff>
    </xdr:from>
    <xdr:to>
      <xdr:col>18</xdr:col>
      <xdr:colOff>157164</xdr:colOff>
      <xdr:row>17</xdr:row>
      <xdr:rowOff>23812</xdr:rowOff>
    </xdr:to>
    <mc:AlternateContent xmlns:mc="http://schemas.openxmlformats.org/markup-compatibility/2006">
      <mc:Choice xmlns:a14="http://schemas.microsoft.com/office/drawing/2010/main" Requires="a14">
        <xdr:graphicFrame macro="">
          <xdr:nvGraphicFramePr>
            <xdr:cNvPr id="24" name="Review 2 2">
              <a:extLst>
                <a:ext uri="{FF2B5EF4-FFF2-40B4-BE49-F238E27FC236}">
                  <a16:creationId xmlns:a16="http://schemas.microsoft.com/office/drawing/2014/main" id="{D9E17CC2-CC45-41B2-AFD2-128A2C295D67}"/>
                </a:ext>
              </a:extLst>
            </xdr:cNvPr>
            <xdr:cNvGraphicFramePr/>
          </xdr:nvGraphicFramePr>
          <xdr:xfrm>
            <a:off x="0" y="0"/>
            <a:ext cx="0" cy="0"/>
          </xdr:xfrm>
          <a:graphic>
            <a:graphicData uri="http://schemas.microsoft.com/office/drawing/2010/slicer">
              <sle:slicer xmlns:sle="http://schemas.microsoft.com/office/drawing/2010/slicer" name="Review 2 2"/>
            </a:graphicData>
          </a:graphic>
        </xdr:graphicFrame>
      </mc:Choice>
      <mc:Fallback>
        <xdr:sp macro="" textlink="">
          <xdr:nvSpPr>
            <xdr:cNvPr id="0" name=""/>
            <xdr:cNvSpPr>
              <a:spLocks noTextEdit="1"/>
            </xdr:cNvSpPr>
          </xdr:nvSpPr>
          <xdr:spPr>
            <a:xfrm>
              <a:off x="9966554" y="1581345"/>
              <a:ext cx="1824717" cy="1679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290511</xdr:colOff>
      <xdr:row>26</xdr:row>
      <xdr:rowOff>166687</xdr:rowOff>
    </xdr:from>
    <xdr:to>
      <xdr:col>15</xdr:col>
      <xdr:colOff>176211</xdr:colOff>
      <xdr:row>34</xdr:row>
      <xdr:rowOff>14286</xdr:rowOff>
    </xdr:to>
    <mc:AlternateContent xmlns:mc="http://schemas.openxmlformats.org/markup-compatibility/2006">
      <mc:Choice xmlns:a14="http://schemas.microsoft.com/office/drawing/2010/main" Requires="a14">
        <xdr:graphicFrame macro="">
          <xdr:nvGraphicFramePr>
            <xdr:cNvPr id="26" name="Discount category 3">
              <a:extLst>
                <a:ext uri="{FF2B5EF4-FFF2-40B4-BE49-F238E27FC236}">
                  <a16:creationId xmlns:a16="http://schemas.microsoft.com/office/drawing/2014/main" id="{02BC8960-1BEE-4C51-8F20-F62C836D0540}"/>
                </a:ext>
              </a:extLst>
            </xdr:cNvPr>
            <xdr:cNvGraphicFramePr/>
          </xdr:nvGraphicFramePr>
          <xdr:xfrm>
            <a:off x="0" y="0"/>
            <a:ext cx="0" cy="0"/>
          </xdr:xfrm>
          <a:graphic>
            <a:graphicData uri="http://schemas.microsoft.com/office/drawing/2010/slicer">
              <sle:slicer xmlns:sle="http://schemas.microsoft.com/office/drawing/2010/slicer" name="Discount category 3"/>
            </a:graphicData>
          </a:graphic>
        </xdr:graphicFrame>
      </mc:Choice>
      <mc:Fallback>
        <xdr:sp macro="" textlink="">
          <xdr:nvSpPr>
            <xdr:cNvPr id="0" name=""/>
            <xdr:cNvSpPr>
              <a:spLocks noTextEdit="1"/>
            </xdr:cNvSpPr>
          </xdr:nvSpPr>
          <xdr:spPr>
            <a:xfrm>
              <a:off x="8046582" y="5021522"/>
              <a:ext cx="1824719" cy="1286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28574</xdr:colOff>
      <xdr:row>7</xdr:row>
      <xdr:rowOff>100014</xdr:rowOff>
    </xdr:from>
    <xdr:to>
      <xdr:col>14</xdr:col>
      <xdr:colOff>561974</xdr:colOff>
      <xdr:row>16</xdr:row>
      <xdr:rowOff>133349</xdr:rowOff>
    </xdr:to>
    <mc:AlternateContent xmlns:mc="http://schemas.openxmlformats.org/markup-compatibility/2006" xmlns:a14="http://schemas.microsoft.com/office/drawing/2010/main">
      <mc:Choice Requires="a14">
        <xdr:graphicFrame macro="">
          <xdr:nvGraphicFramePr>
            <xdr:cNvPr id="28" name="Product 2">
              <a:extLst>
                <a:ext uri="{FF2B5EF4-FFF2-40B4-BE49-F238E27FC236}">
                  <a16:creationId xmlns:a16="http://schemas.microsoft.com/office/drawing/2014/main" id="{88D02E44-05E9-4DA7-AD1F-790EF247000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800974" y="1366839"/>
              <a:ext cx="1828800" cy="1662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237960</xdr:colOff>
      <xdr:row>19</xdr:row>
      <xdr:rowOff>32865</xdr:rowOff>
    </xdr:from>
    <xdr:to>
      <xdr:col>1</xdr:col>
      <xdr:colOff>197220</xdr:colOff>
      <xdr:row>19</xdr:row>
      <xdr:rowOff>128985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
          <xdr14:nvContentPartPr>
            <xdr14:cNvPr id="30" name="Ink 29">
              <a:extLst>
                <a:ext uri="{FF2B5EF4-FFF2-40B4-BE49-F238E27FC236}">
                  <a16:creationId xmlns:a16="http://schemas.microsoft.com/office/drawing/2014/main" id="{38593F66-3D14-82B5-3679-0693A3525B66}"/>
                </a:ext>
              </a:extLst>
            </xdr14:cNvPr>
            <xdr14:cNvContentPartPr/>
          </xdr14:nvContentPartPr>
          <xdr14:nvPr macro=""/>
          <xdr14:xfrm>
            <a:off x="237960" y="3471390"/>
            <a:ext cx="606960" cy="96120"/>
          </xdr14:xfrm>
        </xdr:contentPart>
      </mc:Choice>
      <mc:Fallback xmlns="">
        <xdr:pic>
          <xdr:nvPicPr>
            <xdr:cNvPr id="30" name="Ink 29">
              <a:extLst>
                <a:ext uri="{FF2B5EF4-FFF2-40B4-BE49-F238E27FC236}">
                  <a16:creationId xmlns:a16="http://schemas.microsoft.com/office/drawing/2014/main" id="{38593F66-3D14-82B5-3679-0693A3525B66}"/>
                </a:ext>
              </a:extLst>
            </xdr:cNvPr>
            <xdr:cNvPicPr/>
          </xdr:nvPicPr>
          <xdr:blipFill>
            <a:blip xmlns:r="http://schemas.openxmlformats.org/officeDocument/2006/relationships" r:embed="rId7"/>
            <a:stretch>
              <a:fillRect/>
            </a:stretch>
          </xdr:blipFill>
          <xdr:spPr>
            <a:xfrm>
              <a:off x="220320" y="3363390"/>
              <a:ext cx="642600" cy="311760"/>
            </a:xfrm>
            <a:prstGeom prst="rect">
              <a:avLst/>
            </a:prstGeom>
          </xdr:spPr>
        </xdr:pic>
      </mc:Fallback>
    </mc:AlternateContent>
    <xdr:clientData/>
  </xdr:twoCellAnchor>
  <xdr:twoCellAnchor editAs="oneCell">
    <xdr:from>
      <xdr:col>0</xdr:col>
      <xdr:colOff>485280</xdr:colOff>
      <xdr:row>1</xdr:row>
      <xdr:rowOff>28185</xdr:rowOff>
    </xdr:from>
    <xdr:to>
      <xdr:col>0</xdr:col>
      <xdr:colOff>485640</xdr:colOff>
      <xdr:row>1</xdr:row>
      <xdr:rowOff>28545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
          <xdr14:nvContentPartPr>
            <xdr14:cNvPr id="32" name="Ink 31">
              <a:extLst>
                <a:ext uri="{FF2B5EF4-FFF2-40B4-BE49-F238E27FC236}">
                  <a16:creationId xmlns:a16="http://schemas.microsoft.com/office/drawing/2014/main" id="{145C833B-D661-4AEE-E263-23D6AADE1224}"/>
                </a:ext>
              </a:extLst>
            </xdr14:cNvPr>
            <xdr14:cNvContentPartPr/>
          </xdr14:nvContentPartPr>
          <xdr14:nvPr macro=""/>
          <xdr14:xfrm>
            <a:off x="485280" y="209160"/>
            <a:ext cx="360" cy="360"/>
          </xdr14:xfrm>
        </xdr:contentPart>
      </mc:Choice>
      <mc:Fallback xmlns="">
        <xdr:pic>
          <xdr:nvPicPr>
            <xdr:cNvPr id="32" name="Ink 31">
              <a:extLst>
                <a:ext uri="{FF2B5EF4-FFF2-40B4-BE49-F238E27FC236}">
                  <a16:creationId xmlns:a16="http://schemas.microsoft.com/office/drawing/2014/main" id="{145C833B-D661-4AEE-E263-23D6AADE1224}"/>
                </a:ext>
              </a:extLst>
            </xdr:cNvPr>
            <xdr:cNvPicPr/>
          </xdr:nvPicPr>
          <xdr:blipFill>
            <a:blip xmlns:r="http://schemas.openxmlformats.org/officeDocument/2006/relationships" r:embed="rId9"/>
            <a:stretch>
              <a:fillRect/>
            </a:stretch>
          </xdr:blipFill>
          <xdr:spPr>
            <a:xfrm>
              <a:off x="467640" y="101520"/>
              <a:ext cx="36000" cy="216000"/>
            </a:xfrm>
            <a:prstGeom prst="rect">
              <a:avLst/>
            </a:prstGeom>
          </xdr:spPr>
        </xdr:pic>
      </mc:Fallback>
    </mc:AlternateContent>
    <xdr:clientData/>
  </xdr:twoCellAnchor>
  <xdr:twoCellAnchor>
    <xdr:from>
      <xdr:col>0</xdr:col>
      <xdr:colOff>0</xdr:colOff>
      <xdr:row>41</xdr:row>
      <xdr:rowOff>23813</xdr:rowOff>
    </xdr:from>
    <xdr:to>
      <xdr:col>5</xdr:col>
      <xdr:colOff>401053</xdr:colOff>
      <xdr:row>53</xdr:row>
      <xdr:rowOff>89482</xdr:rowOff>
    </xdr:to>
    <xdr:graphicFrame macro="">
      <xdr:nvGraphicFramePr>
        <xdr:cNvPr id="34" name="Chart 33">
          <a:extLst>
            <a:ext uri="{FF2B5EF4-FFF2-40B4-BE49-F238E27FC236}">
              <a16:creationId xmlns:a16="http://schemas.microsoft.com/office/drawing/2014/main" id="{9C2FB292-025A-4E64-AC11-D34FE6314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52388</xdr:colOff>
      <xdr:row>41</xdr:row>
      <xdr:rowOff>61911</xdr:rowOff>
    </xdr:from>
    <xdr:to>
      <xdr:col>18</xdr:col>
      <xdr:colOff>528638</xdr:colOff>
      <xdr:row>53</xdr:row>
      <xdr:rowOff>71439</xdr:rowOff>
    </xdr:to>
    <xdr:graphicFrame macro="">
      <xdr:nvGraphicFramePr>
        <xdr:cNvPr id="2" name="Chart 1">
          <a:extLst>
            <a:ext uri="{FF2B5EF4-FFF2-40B4-BE49-F238E27FC236}">
              <a16:creationId xmlns:a16="http://schemas.microsoft.com/office/drawing/2014/main" id="{4D370384-9C3B-41DA-836F-E7A5232C0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364330</xdr:colOff>
      <xdr:row>2</xdr:row>
      <xdr:rowOff>76200</xdr:rowOff>
    </xdr:from>
    <xdr:to>
      <xdr:col>10</xdr:col>
      <xdr:colOff>214313</xdr:colOff>
      <xdr:row>15</xdr:row>
      <xdr:rowOff>104775</xdr:rowOff>
    </xdr:to>
    <xdr:graphicFrame macro="">
      <xdr:nvGraphicFramePr>
        <xdr:cNvPr id="2" name="Chart 1">
          <a:extLst>
            <a:ext uri="{FF2B5EF4-FFF2-40B4-BE49-F238E27FC236}">
              <a16:creationId xmlns:a16="http://schemas.microsoft.com/office/drawing/2014/main" id="{3D21FDDB-9F81-1B3F-A32F-D4DBD10B4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1004889</xdr:colOff>
      <xdr:row>117</xdr:row>
      <xdr:rowOff>76201</xdr:rowOff>
    </xdr:from>
    <xdr:to>
      <xdr:col>1</xdr:col>
      <xdr:colOff>962026</xdr:colOff>
      <xdr:row>133</xdr:row>
      <xdr:rowOff>142875</xdr:rowOff>
    </xdr:to>
    <xdr:graphicFrame macro="">
      <xdr:nvGraphicFramePr>
        <xdr:cNvPr id="2" name="Chart 1">
          <a:extLst>
            <a:ext uri="{FF2B5EF4-FFF2-40B4-BE49-F238E27FC236}">
              <a16:creationId xmlns:a16="http://schemas.microsoft.com/office/drawing/2014/main" id="{F1E711D3-C3B6-7475-E753-BC88D8057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280987</xdr:colOff>
      <xdr:row>119</xdr:row>
      <xdr:rowOff>47626</xdr:rowOff>
    </xdr:from>
    <xdr:to>
      <xdr:col>4</xdr:col>
      <xdr:colOff>204787</xdr:colOff>
      <xdr:row>128</xdr:row>
      <xdr:rowOff>147639</xdr:rowOff>
    </xdr:to>
    <mc:AlternateContent xmlns:mc="http://schemas.openxmlformats.org/markup-compatibility/2006" xmlns:a14="http://schemas.microsoft.com/office/drawing/2010/main">
      <mc:Choice Requires="a14">
        <xdr:graphicFrame macro="">
          <xdr:nvGraphicFramePr>
            <xdr:cNvPr id="3" name="Rating  Category 2">
              <a:extLst>
                <a:ext uri="{FF2B5EF4-FFF2-40B4-BE49-F238E27FC236}">
                  <a16:creationId xmlns:a16="http://schemas.microsoft.com/office/drawing/2014/main" id="{0156E109-225A-2D44-55EF-C221CCE48929}"/>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7400925" y="21583651"/>
              <a:ext cx="1828800" cy="1728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1090235</xdr:colOff>
      <xdr:row>5</xdr:row>
      <xdr:rowOff>9898</xdr:rowOff>
    </xdr:from>
    <xdr:to>
      <xdr:col>6</xdr:col>
      <xdr:colOff>1448802</xdr:colOff>
      <xdr:row>22</xdr:row>
      <xdr:rowOff>135354</xdr:rowOff>
    </xdr:to>
    <xdr:graphicFrame macro="">
      <xdr:nvGraphicFramePr>
        <xdr:cNvPr id="2" name="Chart 1">
          <a:extLst>
            <a:ext uri="{FF2B5EF4-FFF2-40B4-BE49-F238E27FC236}">
              <a16:creationId xmlns:a16="http://schemas.microsoft.com/office/drawing/2014/main" id="{92CB4E69-D577-3528-D7D8-0FC5EA83C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345279</xdr:colOff>
      <xdr:row>58</xdr:row>
      <xdr:rowOff>100263</xdr:rowOff>
    </xdr:from>
    <xdr:to>
      <xdr:col>6</xdr:col>
      <xdr:colOff>887329</xdr:colOff>
      <xdr:row>75</xdr:row>
      <xdr:rowOff>74320</xdr:rowOff>
    </xdr:to>
    <xdr:graphicFrame macro="">
      <xdr:nvGraphicFramePr>
        <xdr:cNvPr id="3" name="Chart 2">
          <a:extLst>
            <a:ext uri="{FF2B5EF4-FFF2-40B4-BE49-F238E27FC236}">
              <a16:creationId xmlns:a16="http://schemas.microsoft.com/office/drawing/2014/main" id="{744DE57E-4968-0508-EF5A-3628EE689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814388</xdr:colOff>
      <xdr:row>86</xdr:row>
      <xdr:rowOff>145256</xdr:rowOff>
    </xdr:from>
    <xdr:to>
      <xdr:col>5</xdr:col>
      <xdr:colOff>1543050</xdr:colOff>
      <xdr:row>101</xdr:row>
      <xdr:rowOff>173831</xdr:rowOff>
    </xdr:to>
    <xdr:graphicFrame macro="">
      <xdr:nvGraphicFramePr>
        <xdr:cNvPr id="4" name="Chart 3">
          <a:extLst>
            <a:ext uri="{FF2B5EF4-FFF2-40B4-BE49-F238E27FC236}">
              <a16:creationId xmlns:a16="http://schemas.microsoft.com/office/drawing/2014/main" id="{A485A8B4-B2A7-F946-5C3A-69C21EA84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1333499</xdr:colOff>
      <xdr:row>112</xdr:row>
      <xdr:rowOff>110291</xdr:rowOff>
    </xdr:from>
    <xdr:to>
      <xdr:col>6</xdr:col>
      <xdr:colOff>2962776</xdr:colOff>
      <xdr:row>126</xdr:row>
      <xdr:rowOff>135354</xdr:rowOff>
    </xdr:to>
    <xdr:graphicFrame macro="">
      <xdr:nvGraphicFramePr>
        <xdr:cNvPr id="5" name="Chart 4">
          <a:extLst>
            <a:ext uri="{FF2B5EF4-FFF2-40B4-BE49-F238E27FC236}">
              <a16:creationId xmlns:a16="http://schemas.microsoft.com/office/drawing/2014/main" id="{C377CEDB-D9F2-D2C9-562D-27179670D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1166812</xdr:colOff>
      <xdr:row>59</xdr:row>
      <xdr:rowOff>164934</xdr:rowOff>
    </xdr:from>
    <xdr:to>
      <xdr:col>6</xdr:col>
      <xdr:colOff>2995612</xdr:colOff>
      <xdr:row>73</xdr:row>
      <xdr:rowOff>162427</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D64ED26B-82D5-8A79-9167-0FF2BFF2CB0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964654" y="1083293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3487904</xdr:colOff>
      <xdr:row>59</xdr:row>
      <xdr:rowOff>64670</xdr:rowOff>
    </xdr:from>
    <xdr:to>
      <xdr:col>8</xdr:col>
      <xdr:colOff>1055520</xdr:colOff>
      <xdr:row>73</xdr:row>
      <xdr:rowOff>62163</xdr:rowOff>
    </xdr:to>
    <mc:AlternateContent xmlns:mc="http://schemas.openxmlformats.org/markup-compatibility/2006" xmlns:a14="http://schemas.microsoft.com/office/drawing/2010/main">
      <mc:Choice Requires="a14">
        <xdr:graphicFrame macro="">
          <xdr:nvGraphicFramePr>
            <xdr:cNvPr id="7" name="Discount category 2">
              <a:extLst>
                <a:ext uri="{FF2B5EF4-FFF2-40B4-BE49-F238E27FC236}">
                  <a16:creationId xmlns:a16="http://schemas.microsoft.com/office/drawing/2014/main" id="{6461C112-A0A7-6B20-DC74-6351F423E57A}"/>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14306299" y="107326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2926430</xdr:colOff>
      <xdr:row>59</xdr:row>
      <xdr:rowOff>99762</xdr:rowOff>
    </xdr:from>
    <xdr:to>
      <xdr:col>7</xdr:col>
      <xdr:colOff>734677</xdr:colOff>
      <xdr:row>73</xdr:row>
      <xdr:rowOff>97255</xdr:rowOff>
    </xdr:to>
    <mc:AlternateContent xmlns:mc="http://schemas.openxmlformats.org/markup-compatibility/2006" xmlns:a14="http://schemas.microsoft.com/office/drawing/2010/main">
      <mc:Choice Requires="a14">
        <xdr:graphicFrame macro="">
          <xdr:nvGraphicFramePr>
            <xdr:cNvPr id="8" name="Review 2">
              <a:extLst>
                <a:ext uri="{FF2B5EF4-FFF2-40B4-BE49-F238E27FC236}">
                  <a16:creationId xmlns:a16="http://schemas.microsoft.com/office/drawing/2014/main" id="{DAA446A2-2B88-B862-6352-46CD4F3FB4D4}"/>
                </a:ext>
              </a:extLst>
            </xdr:cNvPr>
            <xdr:cNvGraphicFramePr/>
          </xdr:nvGraphicFramePr>
          <xdr:xfrm>
            <a:off x="0" y="0"/>
            <a:ext cx="0" cy="0"/>
          </xdr:xfrm>
          <a:graphic>
            <a:graphicData uri="http://schemas.microsoft.com/office/drawing/2010/slicer">
              <sle:slicer xmlns:sle="http://schemas.microsoft.com/office/drawing/2010/slicer" name="Review 2"/>
            </a:graphicData>
          </a:graphic>
        </xdr:graphicFrame>
      </mc:Choice>
      <mc:Fallback xmlns="">
        <xdr:sp macro="" textlink="">
          <xdr:nvSpPr>
            <xdr:cNvPr id="0" name=""/>
            <xdr:cNvSpPr>
              <a:spLocks noTextEdit="1"/>
            </xdr:cNvSpPr>
          </xdr:nvSpPr>
          <xdr:spPr>
            <a:xfrm>
              <a:off x="9724272" y="107677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956258</xdr:colOff>
      <xdr:row>59</xdr:row>
      <xdr:rowOff>149893</xdr:rowOff>
    </xdr:from>
    <xdr:to>
      <xdr:col>7</xdr:col>
      <xdr:colOff>2785058</xdr:colOff>
      <xdr:row>73</xdr:row>
      <xdr:rowOff>147386</xdr:rowOff>
    </xdr:to>
    <mc:AlternateContent xmlns:mc="http://schemas.openxmlformats.org/markup-compatibility/2006" xmlns:a14="http://schemas.microsoft.com/office/drawing/2010/main">
      <mc:Choice Requires="a14">
        <xdr:graphicFrame macro="">
          <xdr:nvGraphicFramePr>
            <xdr:cNvPr id="9" name="Rating  Category">
              <a:extLst>
                <a:ext uri="{FF2B5EF4-FFF2-40B4-BE49-F238E27FC236}">
                  <a16:creationId xmlns:a16="http://schemas.microsoft.com/office/drawing/2014/main" id="{9408C9EC-AA0C-EE21-8635-D4B835356E5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1774653" y="1081789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928687</xdr:colOff>
      <xdr:row>112</xdr:row>
      <xdr:rowOff>179471</xdr:rowOff>
    </xdr:from>
    <xdr:to>
      <xdr:col>2</xdr:col>
      <xdr:colOff>742198</xdr:colOff>
      <xdr:row>122</xdr:row>
      <xdr:rowOff>90237</xdr:rowOff>
    </xdr:to>
    <mc:AlternateContent xmlns:mc="http://schemas.openxmlformats.org/markup-compatibility/2006" xmlns:a14="http://schemas.microsoft.com/office/drawing/2010/main">
      <mc:Choice Requires="a14">
        <xdr:graphicFrame macro="">
          <xdr:nvGraphicFramePr>
            <xdr:cNvPr id="10" name="Rating  Category 4">
              <a:extLst>
                <a:ext uri="{FF2B5EF4-FFF2-40B4-BE49-F238E27FC236}">
                  <a16:creationId xmlns:a16="http://schemas.microsoft.com/office/drawing/2014/main" id="{2E2C892E-25D1-3CCC-9D21-C67379DE65E6}"/>
                </a:ext>
              </a:extLst>
            </xdr:cNvPr>
            <xdr:cNvGraphicFramePr/>
          </xdr:nvGraphicFramePr>
          <xdr:xfrm>
            <a:off x="0" y="0"/>
            <a:ext cx="0" cy="0"/>
          </xdr:xfrm>
          <a:graphic>
            <a:graphicData uri="http://schemas.microsoft.com/office/drawing/2010/slicer">
              <sle:slicer xmlns:sle="http://schemas.microsoft.com/office/drawing/2010/slicer" name="Rating  Category 4"/>
            </a:graphicData>
          </a:graphic>
        </xdr:graphicFrame>
      </mc:Choice>
      <mc:Fallback xmlns="">
        <xdr:sp macro="" textlink="">
          <xdr:nvSpPr>
            <xdr:cNvPr id="0" name=""/>
            <xdr:cNvSpPr>
              <a:spLocks noTextEdit="1"/>
            </xdr:cNvSpPr>
          </xdr:nvSpPr>
          <xdr:spPr>
            <a:xfrm>
              <a:off x="928687" y="20412576"/>
              <a:ext cx="1828800" cy="1715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66423</xdr:colOff>
      <xdr:row>123</xdr:row>
      <xdr:rowOff>79208</xdr:rowOff>
    </xdr:from>
    <xdr:to>
      <xdr:col>2</xdr:col>
      <xdr:colOff>867527</xdr:colOff>
      <xdr:row>137</xdr:row>
      <xdr:rowOff>76702</xdr:rowOff>
    </xdr:to>
    <mc:AlternateContent xmlns:mc="http://schemas.openxmlformats.org/markup-compatibility/2006" xmlns:a14="http://schemas.microsoft.com/office/drawing/2010/main">
      <mc:Choice Requires="a14">
        <xdr:graphicFrame macro="">
          <xdr:nvGraphicFramePr>
            <xdr:cNvPr id="11" name="Review 2 1">
              <a:extLst>
                <a:ext uri="{FF2B5EF4-FFF2-40B4-BE49-F238E27FC236}">
                  <a16:creationId xmlns:a16="http://schemas.microsoft.com/office/drawing/2014/main" id="{8701074F-839D-40B4-B114-4883274A7226}"/>
                </a:ext>
              </a:extLst>
            </xdr:cNvPr>
            <xdr:cNvGraphicFramePr/>
          </xdr:nvGraphicFramePr>
          <xdr:xfrm>
            <a:off x="0" y="0"/>
            <a:ext cx="0" cy="0"/>
          </xdr:xfrm>
          <a:graphic>
            <a:graphicData uri="http://schemas.microsoft.com/office/drawing/2010/slicer">
              <sle:slicer xmlns:sle="http://schemas.microsoft.com/office/drawing/2010/slicer" name="Review 2 1"/>
            </a:graphicData>
          </a:graphic>
        </xdr:graphicFrame>
      </mc:Choice>
      <mc:Fallback xmlns="">
        <xdr:sp macro="" textlink="">
          <xdr:nvSpPr>
            <xdr:cNvPr id="0" name=""/>
            <xdr:cNvSpPr>
              <a:spLocks noTextEdit="1"/>
            </xdr:cNvSpPr>
          </xdr:nvSpPr>
          <xdr:spPr>
            <a:xfrm>
              <a:off x="1054016" y="222975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371476</xdr:colOff>
      <xdr:row>0</xdr:row>
      <xdr:rowOff>342899</xdr:rowOff>
    </xdr:from>
    <xdr:to>
      <xdr:col>7</xdr:col>
      <xdr:colOff>176213</xdr:colOff>
      <xdr:row>9</xdr:row>
      <xdr:rowOff>171450</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06616CFB-55E8-105E-92B8-4001C8AD9B7B}"/>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4538664" y="342899"/>
              <a:ext cx="1828800" cy="171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419102</xdr:colOff>
      <xdr:row>123</xdr:row>
      <xdr:rowOff>40480</xdr:rowOff>
    </xdr:from>
    <xdr:to>
      <xdr:col>5</xdr:col>
      <xdr:colOff>528639</xdr:colOff>
      <xdr:row>138</xdr:row>
      <xdr:rowOff>157162</xdr:rowOff>
    </xdr:to>
    <xdr:graphicFrame macro="">
      <xdr:nvGraphicFramePr>
        <xdr:cNvPr id="3" name="Chart 2">
          <a:extLst>
            <a:ext uri="{FF2B5EF4-FFF2-40B4-BE49-F238E27FC236}">
              <a16:creationId xmlns:a16="http://schemas.microsoft.com/office/drawing/2014/main" id="{3F01307B-C41C-173E-E8C9-F4980A7FF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180976</xdr:colOff>
      <xdr:row>121</xdr:row>
      <xdr:rowOff>47629</xdr:rowOff>
    </xdr:from>
    <xdr:to>
      <xdr:col>12</xdr:col>
      <xdr:colOff>66676</xdr:colOff>
      <xdr:row>137</xdr:row>
      <xdr:rowOff>4767</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C976923-9A1B-3ADC-EDDF-D1C0B37ADC8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67626" y="22202779"/>
              <a:ext cx="1828800" cy="2852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257174</xdr:colOff>
      <xdr:row>122</xdr:row>
      <xdr:rowOff>76200</xdr:rowOff>
    </xdr:from>
    <xdr:to>
      <xdr:col>9</xdr:col>
      <xdr:colOff>142874</xdr:colOff>
      <xdr:row>129</xdr:row>
      <xdr:rowOff>0</xdr:rowOff>
    </xdr:to>
    <mc:AlternateContent xmlns:mc="http://schemas.openxmlformats.org/markup-compatibility/2006" xmlns:a14="http://schemas.microsoft.com/office/drawing/2010/main">
      <mc:Choice Requires="a14">
        <xdr:graphicFrame macro="">
          <xdr:nvGraphicFramePr>
            <xdr:cNvPr id="5" name="Discount category 1">
              <a:extLst>
                <a:ext uri="{FF2B5EF4-FFF2-40B4-BE49-F238E27FC236}">
                  <a16:creationId xmlns:a16="http://schemas.microsoft.com/office/drawing/2014/main" id="{0D7E36B7-FCEB-580C-EA48-2EF9DE8C77C3}"/>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5800724" y="2241232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242887</xdr:colOff>
      <xdr:row>121</xdr:row>
      <xdr:rowOff>171449</xdr:rowOff>
    </xdr:from>
    <xdr:to>
      <xdr:col>15</xdr:col>
      <xdr:colOff>128587</xdr:colOff>
      <xdr:row>135</xdr:row>
      <xdr:rowOff>161924</xdr:rowOff>
    </xdr:to>
    <mc:AlternateContent xmlns:mc="http://schemas.openxmlformats.org/markup-compatibility/2006" xmlns:a14="http://schemas.microsoft.com/office/drawing/2010/main">
      <mc:Choice Requires="a14">
        <xdr:graphicFrame macro="">
          <xdr:nvGraphicFramePr>
            <xdr:cNvPr id="7" name="Rating">
              <a:extLst>
                <a:ext uri="{FF2B5EF4-FFF2-40B4-BE49-F238E27FC236}">
                  <a16:creationId xmlns:a16="http://schemas.microsoft.com/office/drawing/2014/main" id="{5AE6FA81-62BE-B45B-7704-AFB4B9B4EB13}"/>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672637" y="2232659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619124</xdr:colOff>
      <xdr:row>0</xdr:row>
      <xdr:rowOff>361951</xdr:rowOff>
    </xdr:from>
    <xdr:to>
      <xdr:col>10</xdr:col>
      <xdr:colOff>504824</xdr:colOff>
      <xdr:row>10</xdr:row>
      <xdr:rowOff>28576</xdr:rowOff>
    </xdr:to>
    <mc:AlternateContent xmlns:mc="http://schemas.openxmlformats.org/markup-compatibility/2006" xmlns:a14="http://schemas.microsoft.com/office/drawing/2010/main">
      <mc:Choice Requires="a14">
        <xdr:graphicFrame macro="">
          <xdr:nvGraphicFramePr>
            <xdr:cNvPr id="8" name="Rating  Category 1">
              <a:extLst>
                <a:ext uri="{FF2B5EF4-FFF2-40B4-BE49-F238E27FC236}">
                  <a16:creationId xmlns:a16="http://schemas.microsoft.com/office/drawing/2014/main" id="{7593ACD9-FADC-3B72-BFA6-56ECAAE04AAA}"/>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6810374" y="361951"/>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466724</xdr:colOff>
      <xdr:row>147</xdr:row>
      <xdr:rowOff>166687</xdr:rowOff>
    </xdr:from>
    <xdr:to>
      <xdr:col>7</xdr:col>
      <xdr:colOff>333375</xdr:colOff>
      <xdr:row>165</xdr:row>
      <xdr:rowOff>171450</xdr:rowOff>
    </xdr:to>
    <xdr:graphicFrame macro="">
      <xdr:nvGraphicFramePr>
        <xdr:cNvPr id="9" name="Chart 8">
          <a:extLst>
            <a:ext uri="{FF2B5EF4-FFF2-40B4-BE49-F238E27FC236}">
              <a16:creationId xmlns:a16="http://schemas.microsoft.com/office/drawing/2014/main" id="{BEB87B25-C100-BF29-DF1E-7FC4B2E40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54768</xdr:colOff>
      <xdr:row>267</xdr:row>
      <xdr:rowOff>7143</xdr:rowOff>
    </xdr:from>
    <xdr:to>
      <xdr:col>10</xdr:col>
      <xdr:colOff>1</xdr:colOff>
      <xdr:row>282</xdr:row>
      <xdr:rowOff>35718</xdr:rowOff>
    </xdr:to>
    <xdr:graphicFrame macro="">
      <xdr:nvGraphicFramePr>
        <xdr:cNvPr id="10" name="Chart 9">
          <a:extLst>
            <a:ext uri="{FF2B5EF4-FFF2-40B4-BE49-F238E27FC236}">
              <a16:creationId xmlns:a16="http://schemas.microsoft.com/office/drawing/2014/main" id="{32161D89-0400-D11D-BCC2-ABF3178ED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01T17:42:28.064"/>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1 2551,'56'89,"35"54,19 29,3 10,-3 1,-10-8,-10-9,-10-9,-10-9,-5-6,-6-5,-1-1,-1-2,0-2,-2 0,-1-1,-4-3,-3-2,-1-2,1-3,-1-6,0-5,0-5,0-2,0-1,0-1,2 1,1 2,2-1,2-3,1-3,-2-4,-4-7,-6-7,-8-8,-4-8,-7-9,-5-10,-4-9,-5-7,-2-9,-3-5,-1-5,-2-4,0-4,-2-4,1-1,0 0,-6-26,-6-23,-6-22,-4-20,-2-16,-3-12,-3-12,-4-7,-1-7,-2-7,0-4,-2-4,0-5,0-3,-2-4,-1-3,0-3,-3-4,0-1,1-4,-1-2,-1-2,-1-4,-2-3,-2-1,-2-1,-1 2,0 3,1 4,0 3,-2 4,1 8,-1 5,1 6,2 5,0 5,3 6,3 6,4 7,1 5,1 3,0 6,-2 4,0 3,-1 3,8 20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01T17:42:17.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1,'0'0</inkml:trace>
  <inkml:trace contextRef="#ctx0" brushRef="#br0" timeOffset="220.58">0 1,'0'0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01T17:42:47.2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1 1,'0'0</inkml:trace>
  <inkml:trace contextRef="#ctx0" brushRef="#br0" timeOffset="228.15">1 1,'0'0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01T17:41:20.230"/>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1 266,'4'0,"9"-2,6-4,7 0,5-1,1-2,-4 0,-2 3,-3-3,-1-3,0 2,-1 2,-2 3,3 1,-1 0,-1 1,0 0,2 1,-2 1,-1 0,-1 1,-3 0,4-2,8-1,5-1,11-6,3-1,5 0,2-3,0 0,-8 4,-9 2,-6 4,-5 1,-4 2,0 1,-1 1,-3-3,4 0,2-3,4 0,4 1,1 1,-2 1,-4-4,0 0,-2 0,-3 2,-2 1,-3 1,3 1,0 1,0 0,0 0,5-2,-1-1,-1 0,0 1,-1 0,-3 1,-1 1,-2-1,-1 1,4 0,1 1,-1-1,0 0,-2 0,-1 0,1 0,-2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01T17:41:46.474"/>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1 1,'0'0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4.684675462966" createdVersion="8" refreshedVersion="8" minRefreshableVersion="3" recordCount="110" xr:uid="{00000000-000A-0000-FFFF-FFFF58010000}">
  <cacheSource type="worksheet">
    <worksheetSource ref="A1:J111" sheet="Excel_jumia"/>
  </cacheSource>
  <cacheFields count="10">
    <cacheField name="Product" numFmtId="49">
      <sharedItems containsBlank="1"/>
    </cacheField>
    <cacheField name="Current price" numFmtId="1">
      <sharedItems containsString="0" containsBlank="1" containsNumber="1" containsInteger="1" minValue="38" maxValue="3750"/>
    </cacheField>
    <cacheField name="old price" numFmtId="1">
      <sharedItems containsString="0" containsBlank="1" containsNumber="1" containsInteger="1" minValue="80" maxValue="6143"/>
    </cacheField>
    <cacheField name="Discount" numFmtId="0">
      <sharedItems containsString="0" containsBlank="1" containsNumber="1" minValue="0.01" maxValue="0.64"/>
    </cacheField>
    <cacheField name="Discount amount" numFmtId="0">
      <sharedItems containsString="0" containsBlank="1" containsNumber="1" containsInteger="1" minValue="24" maxValue="2585"/>
    </cacheField>
    <cacheField name="Discount category" numFmtId="2">
      <sharedItems containsBlank="1" count="4">
        <s v="Medium"/>
        <s v="High"/>
        <s v="Low"/>
        <m/>
      </sharedItems>
    </cacheField>
    <cacheField name="Review" numFmtId="1">
      <sharedItems containsString="0" containsBlank="1" containsNumber="1" containsInteger="1" minValue="-69" maxValue="0"/>
    </cacheField>
    <cacheField name="Review 2" numFmtId="1">
      <sharedItems containsString="0" containsBlank="1" containsNumber="1" containsInteger="1" minValue="0" maxValue="69"/>
    </cacheField>
    <cacheField name="Rating" numFmtId="164">
      <sharedItems containsString="0" containsBlank="1" containsNumber="1" minValue="2" maxValue="5"/>
    </cacheField>
    <cacheField name="Rating  Categor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4.693058912038" createdVersion="8" refreshedVersion="8" minRefreshableVersion="3" recordCount="109" xr:uid="{00000000-000A-0000-FFFF-FFFF67010000}">
  <cacheSource type="worksheet">
    <worksheetSource ref="A1:J110" sheet="Excel_jumia"/>
  </cacheSource>
  <cacheFields count="10">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amount" numFmtId="1">
      <sharedItems containsSemiMixedTypes="0" containsString="0" containsNumber="1" containsInteger="1" minValue="24" maxValue="2585"/>
    </cacheField>
    <cacheField name="Discount category" numFmtId="2">
      <sharedItems count="3">
        <s v="Medium"/>
        <s v="High"/>
        <s v="Low"/>
      </sharedItems>
    </cacheField>
    <cacheField name="Review" numFmtId="1">
      <sharedItems containsSemiMixedTypes="0" containsString="0" containsNumber="1" containsInteger="1" minValue="-69" maxValue="0"/>
    </cacheField>
    <cacheField name="Review 2" numFmtId="1">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numFmtId="164">
      <sharedItems containsSemiMixedTypes="0" containsString="0" containsNumber="1" minValue="2" maxValue="5" count="22">
        <n v="4.5"/>
        <n v="4.0999999999999996"/>
        <n v="4.5999999999999996"/>
        <n v="4.7"/>
        <n v="4.8"/>
        <n v="4"/>
        <n v="3.8"/>
        <n v="4.2"/>
        <n v="5"/>
        <n v="3.3"/>
        <n v="4.4000000000000004"/>
        <n v="4.3"/>
        <n v="2.5"/>
        <n v="3"/>
        <n v="2.1"/>
        <n v="2.8"/>
        <n v="2.7"/>
        <n v="2.9"/>
        <n v="2.2000000000000002"/>
        <n v="2.2999999999999998"/>
        <n v="2.6"/>
        <n v="2"/>
      </sharedItems>
    </cacheField>
    <cacheField name="Rating  Category" numFmtId="0">
      <sharedItems count="3">
        <s v="Execellent"/>
        <s v="Average"/>
        <s v="Poor"/>
      </sharedItems>
    </cacheField>
  </cacheFields>
  <extLst>
    <ext xmlns:x14="http://schemas.microsoft.com/office/spreadsheetml/2009/9/main" uri="{725AE2AE-9491-48be-B2B4-4EB974FC3084}">
      <x14:pivotCacheDefinition pivotCacheId="5016197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4.715961226852" createdVersion="8" refreshedVersion="8" minRefreshableVersion="3" recordCount="115" xr:uid="{00000000-000A-0000-FFFF-FFFF76010000}">
  <cacheSource type="worksheet">
    <worksheetSource ref="A1:J116" sheet="Excel_jumia"/>
  </cacheSource>
  <cacheFields count="10">
    <cacheField name="Product" numFmtId="49">
      <sharedItems containsBlank="1" count="113">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 v="                                                                                                                            AVERAGE"/>
        <s v="                                                                                                                              MAX"/>
        <s v="                                                                                                                             MIN"/>
      </sharedItems>
    </cacheField>
    <cacheField name="Current price" numFmtId="1">
      <sharedItems containsString="0" containsBlank="1" containsNumber="1" minValue="38" maxValue="3750"/>
    </cacheField>
    <cacheField name="old price" numFmtId="1">
      <sharedItems containsString="0" containsBlank="1" containsNumber="1" minValue="80" maxValue="6143"/>
    </cacheField>
    <cacheField name="Discount" numFmtId="9">
      <sharedItems containsString="0" containsBlank="1" containsNumber="1" minValue="0.01" maxValue="0.64"/>
    </cacheField>
    <cacheField name="Discount amount" numFmtId="1">
      <sharedItems containsString="0" containsBlank="1" containsNumber="1" minValue="24" maxValue="2585"/>
    </cacheField>
    <cacheField name="Discount category" numFmtId="0">
      <sharedItems containsBlank="1" count="4">
        <s v="Medium"/>
        <s v="High"/>
        <s v="Low"/>
        <m/>
      </sharedItems>
    </cacheField>
    <cacheField name="Review" numFmtId="1">
      <sharedItems containsString="0" containsBlank="1" containsNumber="1" containsInteger="1" minValue="-69" maxValue="0"/>
    </cacheField>
    <cacheField name="Review 2" numFmtId="1">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 numFmtId="164">
      <sharedItems containsString="0" containsBlank="1" containsNumber="1" minValue="2" maxValue="5" count="24">
        <n v="4.5"/>
        <n v="4.0999999999999996"/>
        <n v="4.5999999999999996"/>
        <n v="4.7"/>
        <n v="4.8"/>
        <n v="4"/>
        <n v="3.8"/>
        <n v="4.2"/>
        <n v="5"/>
        <n v="3.3"/>
        <n v="4.4000000000000004"/>
        <n v="4.3"/>
        <n v="2.5"/>
        <n v="3"/>
        <n v="2.1"/>
        <n v="2.8"/>
        <n v="2.7"/>
        <n v="2.9"/>
        <n v="2.2000000000000002"/>
        <n v="2.2999999999999998"/>
        <n v="2.6"/>
        <n v="2"/>
        <m/>
        <n v="3.8422018348623905"/>
      </sharedItems>
    </cacheField>
    <cacheField name="Rating  Category" numFmtId="0">
      <sharedItems containsBlank="1" count="4">
        <s v="Execellent"/>
        <s v="Average"/>
        <s v="Poor"/>
        <m/>
      </sharedItems>
    </cacheField>
  </cacheFields>
  <extLst>
    <ext xmlns:x14="http://schemas.microsoft.com/office/spreadsheetml/2009/9/main" uri="{725AE2AE-9491-48be-B2B4-4EB974FC3084}">
      <x14:pivotCacheDefinition pivotCacheId="2009384588"/>
    </ext>
  </extLst>
</pivotCacheDefinition>
</file>

<file path=xl/pivotCache/pivotCacheRecords1.xml><?xml version="1.0" encoding="utf-8"?>
<pivotCacheRecords xmlns="http://schemas.openxmlformats.org/spreadsheetml/2006/main" xmlns:r="http://schemas.openxmlformats.org/officeDocument/2006/relationships" count="110">
  <r>
    <s v="115  Piece Set Of Multifunctional Precision Screwdrivers"/>
    <n v="950"/>
    <n v="1525"/>
    <n v="0.38"/>
    <n v="575"/>
    <x v="0"/>
    <n v="-2"/>
    <n v="2"/>
    <n v="4.5"/>
    <s v="Execellent"/>
  </r>
  <r>
    <s v="Metal Decorative Hooks Key Hangers Entryway Wall Hooks Towel Hooks - Home"/>
    <n v="527"/>
    <n v="999"/>
    <n v="0.47"/>
    <n v="472"/>
    <x v="1"/>
    <n v="-14"/>
    <n v="14"/>
    <n v="4.0999999999999996"/>
    <s v="Average"/>
  </r>
  <r>
    <s v="Portable Mini Cordless Car Vacuum Cleaner - Blue"/>
    <n v="2199"/>
    <n v="2923"/>
    <n v="0.25"/>
    <n v="724"/>
    <x v="0"/>
    <n v="-24"/>
    <n v="24"/>
    <n v="4.5999999999999996"/>
    <s v="Execellent"/>
  </r>
  <r>
    <s v="Weighing Scale Digital Bathroom Body Fat Scale USB-Black"/>
    <n v="1580"/>
    <n v="2499"/>
    <n v="0.37"/>
    <n v="919"/>
    <x v="0"/>
    <n v="-7"/>
    <n v="7"/>
    <n v="4.7"/>
    <s v="Execellent"/>
  </r>
  <r>
    <s v="Portable Home Small Air Humidifier 3-Speed Fan - Green"/>
    <n v="1740"/>
    <n v="2356"/>
    <n v="0.26"/>
    <n v="616"/>
    <x v="0"/>
    <n v="-5"/>
    <n v="5"/>
    <n v="4.8"/>
    <s v="Execellent"/>
  </r>
  <r>
    <s v="220V 60W Electric Soldering Iron Kits With Tools, Tips, And Multimeter"/>
    <n v="2999"/>
    <n v="3290"/>
    <n v="0.09"/>
    <n v="291"/>
    <x v="2"/>
    <n v="-15"/>
    <n v="15"/>
    <n v="4"/>
    <s v="Average"/>
  </r>
  <r>
    <s v="137 Pieces Cake Decorating Tool Set Baking Supplies"/>
    <n v="2319"/>
    <n v="3032"/>
    <n v="0.24"/>
    <n v="713"/>
    <x v="0"/>
    <n v="-55"/>
    <n v="55"/>
    <n v="4.5999999999999996"/>
    <s v="Execellent"/>
  </r>
  <r>
    <s v="Desk Foldable Fan Adjustable Fan Strong Wind 3 Gear Usb"/>
    <n v="988"/>
    <n v="1580"/>
    <n v="0.37"/>
    <n v="592"/>
    <x v="0"/>
    <n v="-2"/>
    <n v="2"/>
    <n v="4"/>
    <s v="Average"/>
  </r>
  <r>
    <s v="LASA FOLDING TABLE SERVING STAND"/>
    <n v="1274"/>
    <n v="2800"/>
    <n v="0.55000000000000004"/>
    <n v="1526"/>
    <x v="1"/>
    <n v="-5"/>
    <n v="5"/>
    <n v="4.8"/>
    <s v="Execellent"/>
  </r>
  <r>
    <s v="13 In 1 Home Repair Tools Box Kit Set"/>
    <n v="1600"/>
    <n v="2929"/>
    <n v="0.45"/>
    <n v="1329"/>
    <x v="1"/>
    <n v="-5"/>
    <n v="5"/>
    <n v="3.8"/>
    <s v="Average"/>
  </r>
  <r>
    <s v="Genebre 115 In 1 Screwdriver Repairing Tool Set For IPhone Cellphone Hand Tool"/>
    <n v="799"/>
    <n v="999"/>
    <n v="0.2"/>
    <n v="200"/>
    <x v="0"/>
    <n v="-12"/>
    <n v="12"/>
    <n v="4.0999999999999996"/>
    <s v="Average"/>
  </r>
  <r>
    <s v="100 Pcs Crochet Hook Tool Set Knitting Hook Set With Box"/>
    <n v="990"/>
    <n v="1500"/>
    <n v="0.34"/>
    <n v="510"/>
    <x v="0"/>
    <n v="-39"/>
    <n v="39"/>
    <n v="4.7"/>
    <s v="Execellent"/>
  </r>
  <r>
    <s v="40cm Gold DIY Acrylic Wall Sticker Clock"/>
    <n v="552"/>
    <n v="1035"/>
    <n v="0.47"/>
    <n v="483"/>
    <x v="1"/>
    <n v="-12"/>
    <n v="12"/>
    <n v="4.8"/>
    <s v="Execellent"/>
  </r>
  <r>
    <s v="LASA Digital Thermometer And Hydrometer"/>
    <n v="501"/>
    <n v="860"/>
    <n v="0.42"/>
    <n v="359"/>
    <x v="1"/>
    <n v="-6"/>
    <n v="6"/>
    <n v="4.5"/>
    <s v="Execellent"/>
  </r>
  <r>
    <s v="Multifunction Laser Level With Adjustment Tripod"/>
    <n v="1680"/>
    <n v="2499"/>
    <n v="0.33"/>
    <n v="819"/>
    <x v="0"/>
    <n v="-9"/>
    <n v="9"/>
    <n v="4.2"/>
    <s v="Average"/>
  </r>
  <r>
    <s v="Anti-Skid Absorbent Insulation Coaster  For Home Office"/>
    <n v="332"/>
    <n v="684"/>
    <n v="0.51"/>
    <n v="352"/>
    <x v="1"/>
    <n v="-2"/>
    <n v="2"/>
    <n v="5"/>
    <s v="Execellent"/>
  </r>
  <r>
    <s v="Peacock  Throw Pillow Cushion Case For Home Car"/>
    <n v="195"/>
    <n v="360"/>
    <n v="0.46"/>
    <n v="165"/>
    <x v="1"/>
    <n v="-2"/>
    <n v="2"/>
    <n v="5"/>
    <s v="Execellent"/>
  </r>
  <r>
    <s v="LASA Aluminum Folding Truck Hand Cart - 68kg Max"/>
    <n v="2025"/>
    <n v="3971"/>
    <n v="0.49"/>
    <n v="1946"/>
    <x v="1"/>
    <n v="-3"/>
    <n v="3"/>
    <n v="5"/>
    <s v="Execellent"/>
  </r>
  <r>
    <s v="LED Wall Digital Alarm Clock Study Home 12 / 24H Clock Calendar"/>
    <n v="2999"/>
    <n v="3699"/>
    <n v="0.19"/>
    <n v="700"/>
    <x v="2"/>
    <n v="-5"/>
    <n v="5"/>
    <n v="4.5999999999999996"/>
    <s v="Execellent"/>
  </r>
  <r>
    <s v="3D Waterproof EVA Plastic Shower Curtain 1.8*2Mtrs"/>
    <n v="998"/>
    <n v="1966"/>
    <n v="0.49"/>
    <n v="968"/>
    <x v="1"/>
    <n v="-44"/>
    <n v="44"/>
    <n v="4.5999999999999996"/>
    <s v="Execellent"/>
  </r>
  <r>
    <s v="3PCS Single Head Knitting Crochet Sweater Needle Set"/>
    <n v="38"/>
    <n v="80"/>
    <n v="0.53"/>
    <n v="42"/>
    <x v="1"/>
    <n v="-13"/>
    <n v="13"/>
    <n v="3.3"/>
    <s v="Average"/>
  </r>
  <r>
    <s v="4pcs Bathroom/Kitchen Towel Rack,Roll Paper Holder,Towel Bars,Hook"/>
    <n v="1860"/>
    <n v="3220"/>
    <n v="0.42"/>
    <n v="1360"/>
    <x v="1"/>
    <n v="0"/>
    <n v="0"/>
    <n v="3.3"/>
    <s v="Average"/>
  </r>
  <r>
    <s v="LED Romantic Spaceship Starry Sky Projector,Children's Bedroom Night Light-Blue"/>
    <n v="880"/>
    <n v="1350"/>
    <n v="0.35"/>
    <n v="470"/>
    <x v="0"/>
    <n v="-6"/>
    <n v="6"/>
    <n v="4"/>
    <s v="Average"/>
  </r>
  <r>
    <s v="Foldable Overbed Table/Desk"/>
    <n v="1650"/>
    <n v="2150"/>
    <n v="0.23"/>
    <n v="500"/>
    <x v="0"/>
    <n v="-14"/>
    <n v="14"/>
    <n v="4.4000000000000004"/>
    <s v="Average"/>
  </r>
  <r>
    <s v="LASA 3 Tier Bamboo Shoe Bench Storage Shelf"/>
    <n v="2048"/>
    <n v="4500"/>
    <n v="0.54"/>
    <n v="2452"/>
    <x v="1"/>
    <n v="-7"/>
    <n v="7"/>
    <n v="4.3"/>
    <s v="Average"/>
  </r>
  <r>
    <s v="Electronic Digital Display Vernier Caliper"/>
    <n v="420"/>
    <n v="647"/>
    <n v="0.35"/>
    <n v="227"/>
    <x v="0"/>
    <n v="-49"/>
    <n v="49"/>
    <n v="4.5999999999999996"/>
    <s v="Execellent"/>
  </r>
  <r>
    <s v="Portable Wardrobe Nonwoven With 3 Hanging Rods And 6 Storage Shelves"/>
    <n v="2880"/>
    <n v="3520"/>
    <n v="0.18"/>
    <n v="640"/>
    <x v="2"/>
    <n v="-12"/>
    <n v="12"/>
    <n v="3.8"/>
    <s v="Average"/>
  </r>
  <r>
    <s v="12 Litre Black Insulated Lunch Box"/>
    <n v="1350"/>
    <n v="1990"/>
    <n v="0.32"/>
    <n v="640"/>
    <x v="0"/>
    <n v="-13"/>
    <n v="13"/>
    <n v="3.8"/>
    <s v="Average"/>
  </r>
  <r>
    <s v="52 Pieces Cake Decorating Tool Set Gift Kit Baking Supplies"/>
    <n v="1758"/>
    <n v="2499"/>
    <n v="0.3"/>
    <n v="741"/>
    <x v="0"/>
    <n v="-20"/>
    <n v="20"/>
    <n v="4.0999999999999996"/>
    <s v="Average"/>
  </r>
  <r>
    <s v="MultiFunctional Storage Rack Multi-layer Bookshelf"/>
    <n v="2200"/>
    <n v="4080"/>
    <n v="0.46"/>
    <n v="1880"/>
    <x v="1"/>
    <n v="0"/>
    <n v="0"/>
    <n v="3.8"/>
    <s v="Average"/>
  </r>
  <r>
    <s v="Exfoliate And Exfoliate Face Towel - Black"/>
    <n v="185"/>
    <n v="382"/>
    <n v="0.52"/>
    <n v="197"/>
    <x v="1"/>
    <n v="-9"/>
    <n v="9"/>
    <n v="4.3"/>
    <s v="Average"/>
  </r>
  <r>
    <s v="12 Litre Insulated Lunch Box Grey"/>
    <n v="980"/>
    <n v="1490"/>
    <n v="0.34"/>
    <n v="510"/>
    <x v="0"/>
    <n v="-12"/>
    <n v="12"/>
    <n v="4.7"/>
    <s v="Execellent"/>
  </r>
  <r>
    <s v="LED Eye Protection  Desk Lamp , Study, Reading, USB Fan - Double Pen Holder"/>
    <n v="1820"/>
    <n v="3490"/>
    <n v="0.48"/>
    <n v="1670"/>
    <x v="1"/>
    <n v="-9"/>
    <n v="9"/>
    <n v="4.3"/>
    <s v="Average"/>
  </r>
  <r>
    <s v="53Pcs/Set Yarn Knitting Crochet Hooks With Bag - Fortune Cat"/>
    <n v="1940"/>
    <n v="2650"/>
    <n v="0.27"/>
    <n v="710"/>
    <x v="0"/>
    <n v="-20"/>
    <n v="20"/>
    <n v="4.7"/>
    <s v="Execellent"/>
  </r>
  <r>
    <s v="53 Pieces/Set Yarn Knitting Crochet Hooks With Bag - Pansies"/>
    <n v="1980"/>
    <n v="2699"/>
    <n v="0.27"/>
    <n v="719"/>
    <x v="0"/>
    <n v="-32"/>
    <n v="32"/>
    <n v="4.5"/>
    <s v="Execellent"/>
  </r>
  <r>
    <s v="DIY File Folder, Office Drawer File Holder, Pen Holder, Desktop Storage Rack"/>
    <n v="1620"/>
    <n v="2690"/>
    <n v="0.4"/>
    <n v="1070"/>
    <x v="0"/>
    <n v="-1"/>
    <n v="1"/>
    <n v="5"/>
    <s v="Execellent"/>
  </r>
  <r>
    <s v="Classic Black Cat Cotton Hemp Pillow Case For Home Car"/>
    <n v="171"/>
    <n v="360"/>
    <n v="0.53"/>
    <n v="189"/>
    <x v="1"/>
    <n v="-2"/>
    <n v="2"/>
    <n v="5"/>
    <s v="Execellent"/>
  </r>
  <r>
    <s v="Punch-free Great Load Bearing Bathroom Storage Rack Wall Shelf-White"/>
    <n v="389"/>
    <n v="656"/>
    <n v="0.41"/>
    <n v="267"/>
    <x v="1"/>
    <n v="-36"/>
    <n v="36"/>
    <n v="4.3"/>
    <s v="Average"/>
  </r>
  <r>
    <s v="1/2/3 Seater Elastic Sofa Cover,Living Room/Home Decor Chair Cover-Grey"/>
    <n v="1800"/>
    <n v="2700"/>
    <n v="0.38"/>
    <n v="900"/>
    <x v="0"/>
    <n v="-2"/>
    <n v="2"/>
    <n v="4.5"/>
    <s v="Execellent"/>
  </r>
  <r>
    <s v="LASA Stainless Steel Double Wall Mount Soap Dispenser - 500ml"/>
    <n v="2750"/>
    <n v="4471"/>
    <n v="0.38"/>
    <n v="1721"/>
    <x v="0"/>
    <n v="0"/>
    <n v="0"/>
    <n v="3.8"/>
    <s v="Average"/>
  </r>
  <r>
    <s v="4M Float Switch Water Level Controller -Water Tank"/>
    <n v="475"/>
    <n v="931"/>
    <n v="0.49"/>
    <n v="456"/>
    <x v="1"/>
    <n v="0"/>
    <n v="0"/>
    <n v="3.8"/>
    <s v="Average"/>
  </r>
  <r>
    <s v="Modern Sofa Throw Pillow Cover-45x45cm-Blue&amp;Red"/>
    <n v="238"/>
    <n v="476"/>
    <n v="0.5"/>
    <n v="238"/>
    <x v="1"/>
    <n v="0"/>
    <n v="0"/>
    <n v="3.8"/>
    <s v="Average"/>
  </r>
  <r>
    <s v="Balloon Insert, Birthday Party Balloon Set, PU Leather"/>
    <n v="610"/>
    <n v="1060"/>
    <n v="0.42"/>
    <n v="450"/>
    <x v="1"/>
    <n v="0"/>
    <n v="0"/>
    <n v="3.8"/>
    <s v="Average"/>
  </r>
  <r>
    <s v="Shower Cap Wide Elastic Band Cover Reusable Bashroom Cap"/>
    <n v="2132"/>
    <n v="2169"/>
    <n v="0.02"/>
    <n v="37"/>
    <x v="2"/>
    <n v="0"/>
    <n v="0"/>
    <n v="3.8"/>
    <s v="Average"/>
  </r>
  <r>
    <s v="Christmas Elk Fence Yard Lawn Decorations Cute For Holidays"/>
    <n v="999"/>
    <n v="2000"/>
    <n v="0.5"/>
    <n v="1001"/>
    <x v="1"/>
    <n v="0"/>
    <n v="0"/>
    <n v="3.8"/>
    <s v="Average"/>
  </r>
  <r>
    <s v="60W Hot Melt Glue Sprayer - Efficient And Stable Glue Dispensing"/>
    <n v="1190"/>
    <n v="1785"/>
    <n v="0.33"/>
    <n v="595"/>
    <x v="0"/>
    <n v="0"/>
    <n v="0"/>
    <n v="3.8"/>
    <s v="Average"/>
  </r>
  <r>
    <s v="Car Phone Charging Stand"/>
    <n v="671"/>
    <n v="1316"/>
    <n v="0.49"/>
    <n v="645"/>
    <x v="1"/>
    <n v="0"/>
    <n v="0"/>
    <n v="3.8"/>
    <s v="Average"/>
  </r>
  <r>
    <s v="2pcs Solar Street Light Flood Light Outdoor"/>
    <n v="1200"/>
    <n v="1950"/>
    <n v="0.38"/>
    <n v="750"/>
    <x v="0"/>
    <n v="0"/>
    <n v="0"/>
    <n v="3.8"/>
    <s v="Average"/>
  </r>
  <r>
    <s v="Creative Owl Shape Keychain Black"/>
    <n v="199"/>
    <n v="504"/>
    <n v="0.61"/>
    <n v="305"/>
    <x v="1"/>
    <n v="0"/>
    <n v="0"/>
    <n v="3.8"/>
    <s v="Average"/>
  </r>
  <r>
    <s v="Brush &amp; Paintbrush Cleaning Tool Pink"/>
    <n v="299"/>
    <n v="600"/>
    <n v="0.5"/>
    <n v="301"/>
    <x v="1"/>
    <n v="0"/>
    <n v="0"/>
    <n v="3.8"/>
    <s v="Average"/>
  </r>
  <r>
    <s v="Pen Grips For Kids Pen Grip Posture Correction Tool For Kids"/>
    <n v="1660"/>
    <n v="1699"/>
    <n v="0.02"/>
    <n v="39"/>
    <x v="2"/>
    <n v="0"/>
    <n v="0"/>
    <n v="3.8"/>
    <s v="Average"/>
  </r>
  <r>
    <s v="Pilates Cloth Bag Waterproof Durable High Capacity Purple"/>
    <n v="299"/>
    <n v="384"/>
    <n v="0.22"/>
    <n v="85"/>
    <x v="0"/>
    <n v="0"/>
    <n v="0"/>
    <n v="3.8"/>
    <s v="Average"/>
  </r>
  <r>
    <s v="Multi-purpose Rice Drainage Basket And Fruit And Vegetable Drainage Sieve"/>
    <n v="1459"/>
    <n v="1499"/>
    <n v="0.03"/>
    <n v="40"/>
    <x v="2"/>
    <n v="0"/>
    <n v="0"/>
    <n v="3.8"/>
    <s v="Average"/>
  </r>
  <r>
    <s v="Cute Christmas Fence Garden Decorations For Holiday Home"/>
    <n v="799"/>
    <n v="1343"/>
    <n v="0.41"/>
    <n v="544"/>
    <x v="1"/>
    <n v="0"/>
    <n v="0"/>
    <n v="3.8"/>
    <s v="Average"/>
  </r>
  <r>
    <s v="Simple Metal Dog Art Sculpture Decoration For Home Office"/>
    <n v="499"/>
    <n v="900"/>
    <n v="0.45"/>
    <n v="401"/>
    <x v="1"/>
    <n v="0"/>
    <n v="0"/>
    <n v="3.8"/>
    <s v="Average"/>
  </r>
  <r>
    <s v="Christmas Fence Garden Decorations Outdoor For Holiday Home"/>
    <n v="699"/>
    <n v="1343"/>
    <n v="0.48"/>
    <n v="644"/>
    <x v="1"/>
    <n v="0"/>
    <n v="0"/>
    <n v="3.8"/>
    <s v="Average"/>
  </r>
  <r>
    <s v="Angle Measuring Tool Full Metal Multi Angle Measuring Tool"/>
    <n v="799"/>
    <n v="1567"/>
    <n v="0.49"/>
    <n v="768"/>
    <x v="1"/>
    <n v="0"/>
    <n v="0"/>
    <n v="3.8"/>
    <s v="Average"/>
  </r>
  <r>
    <s v="12V 19500rpm Handheld Electric Angle Grinder Tool - UK - Yellow/Black"/>
    <n v="2799"/>
    <n v="3810"/>
    <n v="0.27"/>
    <n v="1011"/>
    <x v="0"/>
    <n v="0"/>
    <n v="0"/>
    <n v="3.8"/>
    <s v="Average"/>
  </r>
  <r>
    <s v="5 Pieces/set Of Stainless Steel Induction Cooker Pots"/>
    <n v="2170"/>
    <n v="2500"/>
    <n v="0.13"/>
    <n v="330"/>
    <x v="2"/>
    <n v="-6"/>
    <n v="6"/>
    <n v="2.5"/>
    <s v="Poor"/>
  </r>
  <r>
    <s v="Mythco 120COB Solar Wall Ligt With Motion Sensor And Remote Control 3 Modes"/>
    <n v="458"/>
    <n v="986"/>
    <n v="0.54"/>
    <n v="528"/>
    <x v="1"/>
    <n v="-10"/>
    <n v="10"/>
    <n v="3"/>
    <s v="Average"/>
  </r>
  <r>
    <s v="5-PCS Stainless Steel Cooking Pot Set With Steamed Slices"/>
    <n v="2115"/>
    <n v="4700"/>
    <n v="0.55000000000000004"/>
    <n v="2585"/>
    <x v="1"/>
    <n v="-13"/>
    <n v="13"/>
    <n v="2.1"/>
    <s v="Poor"/>
  </r>
  <r>
    <s v="120W Cordless Vacuum Cleaners Handheld Electric Vacuum Cleaner"/>
    <n v="445"/>
    <n v="873"/>
    <n v="0.49"/>
    <n v="428"/>
    <x v="1"/>
    <n v="-69"/>
    <n v="69"/>
    <n v="2.8"/>
    <s v="Poor"/>
  </r>
  <r>
    <s v="Intelligent  LED Body Sensor Wireless Lighting Night Light USB"/>
    <n v="325"/>
    <n v="680"/>
    <n v="0.52"/>
    <n v="355"/>
    <x v="1"/>
    <n v="-15"/>
    <n v="15"/>
    <n v="2.7"/>
    <s v="Poor"/>
  </r>
  <r>
    <s v="VIC Wireless Vacuum Cleaner Dual Use For Home And Car 120W High Power Powerful"/>
    <n v="1220"/>
    <n v="1555"/>
    <n v="0.22"/>
    <n v="335"/>
    <x v="0"/>
    <n v="-16"/>
    <n v="16"/>
    <n v="2.9"/>
    <s v="Poor"/>
  </r>
  <r>
    <s v="Artificial Potted Flowers Room Decorative Flowers (2 Pieces)"/>
    <n v="990"/>
    <n v="1814"/>
    <n v="0.45"/>
    <n v="824"/>
    <x v="1"/>
    <n v="-6"/>
    <n v="6"/>
    <n v="2.2000000000000002"/>
    <s v="Poor"/>
  </r>
  <r>
    <s v="380ML USB Rechargeable Portable Small Blenders And Juicers"/>
    <n v="1000"/>
    <n v="2000"/>
    <n v="0.5"/>
    <n v="1000"/>
    <x v="1"/>
    <n v="-7"/>
    <n v="7"/>
    <n v="2.2999999999999998"/>
    <s v="Poor"/>
  </r>
  <r>
    <s v="32PCS Portable Cordless Drill Set With Cyclic Battery Drive -26 Variable Speed"/>
    <n v="3750"/>
    <n v="6143"/>
    <n v="0.39"/>
    <n v="2393"/>
    <x v="0"/>
    <n v="-5"/>
    <n v="5"/>
    <n v="3"/>
    <s v="Average"/>
  </r>
  <r>
    <s v="Agapeon Toothbrush Holder And Toothpaste Dispenser"/>
    <n v="382"/>
    <n v="700"/>
    <n v="0.45"/>
    <n v="318"/>
    <x v="1"/>
    <n v="-17"/>
    <n v="17"/>
    <n v="2.6"/>
    <s v="Poor"/>
  </r>
  <r>
    <s v="Large Lazy Inflatable Sofa Chairs PVC Lounger Seat Bag"/>
    <n v="2300"/>
    <n v="3240"/>
    <n v="0.28999999999999998"/>
    <n v="940"/>
    <x v="0"/>
    <n v="-5"/>
    <n v="5"/>
    <n v="3"/>
    <s v="Average"/>
  </r>
  <r>
    <s v="Watercolour Gold Foil Textured Print Pillow Cover"/>
    <n v="345"/>
    <n v="602"/>
    <n v="0.43"/>
    <n v="257"/>
    <x v="1"/>
    <n v="-6"/>
    <n v="6"/>
    <n v="2.2999999999999998"/>
    <s v="Poor"/>
  </r>
  <r>
    <s v="Wrought Iron Bathroom Shelf Wall Mounted Free Punch Toilet Rack"/>
    <n v="509"/>
    <n v="899"/>
    <n v="0.43"/>
    <n v="390"/>
    <x v="1"/>
    <n v="-5"/>
    <n v="5"/>
    <n v="3"/>
    <s v="Average"/>
  </r>
  <r>
    <s v="7-piece Set Of Storage Bags, Travel Storage Bags, Shoe Bags"/>
    <n v="968"/>
    <n v="1814"/>
    <n v="0.47"/>
    <n v="846"/>
    <x v="1"/>
    <n v="-6"/>
    <n v="6"/>
    <n v="2.2000000000000002"/>
    <s v="Poor"/>
  </r>
  <r>
    <s v="Electric LED UV Mosquito Killer Lamp, Outdoor/Indoor Fly Killer Trap Light -USB"/>
    <n v="1570"/>
    <n v="2988"/>
    <n v="0.47"/>
    <n v="1418"/>
    <x v="1"/>
    <n v="-7"/>
    <n v="7"/>
    <n v="2.1"/>
    <s v="Poor"/>
  </r>
  <r>
    <s v="2PCS/LOT Solar LED Outdoor Intelligent Light Controlled Wall Lamp"/>
    <n v="790"/>
    <n v="1485"/>
    <n v="0.47"/>
    <n v="695"/>
    <x v="1"/>
    <n v="0"/>
    <n v="0"/>
    <n v="3.8"/>
    <s v="Average"/>
  </r>
  <r>
    <s v="3PCS Rotary Scraper Thermomix For Kitchen"/>
    <n v="690"/>
    <n v="1200"/>
    <n v="0.43"/>
    <n v="510"/>
    <x v="1"/>
    <n v="0"/>
    <n v="0"/>
    <n v="3.8"/>
    <s v="Average"/>
  </r>
  <r>
    <s v="Cushion Silicone Butt Cushion Summer Ice Cushion Honeycomb Gel Cushion"/>
    <n v="1732"/>
    <n v="1799"/>
    <n v="0.04"/>
    <n v="67"/>
    <x v="2"/>
    <n v="0"/>
    <n v="0"/>
    <n v="3.8"/>
    <s v="Average"/>
  </r>
  <r>
    <s v="7PCS Silicone Thumb Knife Finger Protector Vegetable Harvesting Knife"/>
    <n v="230"/>
    <n v="450"/>
    <n v="0.49"/>
    <n v="220"/>
    <x v="1"/>
    <n v="0"/>
    <n v="0"/>
    <n v="3.8"/>
    <s v="Average"/>
  </r>
  <r>
    <s v="Memory Foam Neck Pillow Cover, With Pillow Core - 50*30cm"/>
    <n v="1189"/>
    <n v="2199"/>
    <n v="0.46"/>
    <n v="1010"/>
    <x v="1"/>
    <n v="-1"/>
    <n v="1"/>
    <n v="3"/>
    <s v="Average"/>
  </r>
  <r>
    <s v="Bedroom Simple Floor Hanging Clothes Rack Single Pole Hat Rack - White"/>
    <n v="979"/>
    <n v="1920"/>
    <n v="0.49"/>
    <n v="941"/>
    <x v="1"/>
    <n v="-1"/>
    <n v="1"/>
    <n v="5"/>
    <s v="Execellent"/>
  </r>
  <r>
    <s v="5m Waterproof Spherical LED String Lights Outdoor Ball Chain Lights Party Lighting Decoration Adjustable"/>
    <n v="1460"/>
    <n v="2290"/>
    <n v="0.36"/>
    <n v="830"/>
    <x v="0"/>
    <n v="0"/>
    <n v="0"/>
    <n v="3.8"/>
    <s v="Average"/>
  </r>
  <r>
    <s v="2 Pairs Cowhide Split Leather Work Gloves.32â„‰ Or Above Welding Gloves"/>
    <n v="1666"/>
    <n v="1699"/>
    <n v="0.02"/>
    <n v="33"/>
    <x v="2"/>
    <n v="0"/>
    <n v="0"/>
    <n v="3.8"/>
    <s v="Average"/>
  </r>
  <r>
    <s v="Household Pineapple Peeler Peeler"/>
    <n v="330"/>
    <n v="647"/>
    <n v="0.49"/>
    <n v="317"/>
    <x v="1"/>
    <n v="-1"/>
    <n v="1"/>
    <n v="4"/>
    <s v="Average"/>
  </r>
  <r>
    <s v="Office Chair Lumbar Back Support Spine Posture Correction Pillow Car Cushion"/>
    <n v="1466"/>
    <n v="1699"/>
    <n v="0.14000000000000001"/>
    <n v="233"/>
    <x v="2"/>
    <n v="0"/>
    <n v="0"/>
    <n v="3.8"/>
    <s v="Average"/>
  </r>
  <r>
    <s v="Cartoon Car Decoration Cute Individuality For Car Home Desk"/>
    <n v="274"/>
    <n v="537"/>
    <n v="0.49"/>
    <n v="263"/>
    <x v="1"/>
    <n v="0"/>
    <n v="0"/>
    <n v="3.8"/>
    <s v="Average"/>
  </r>
  <r>
    <s v="Outdoor Portable Water Bottle With Medicine Box - 600ML - Black"/>
    <n v="799"/>
    <n v="900"/>
    <n v="0.11"/>
    <n v="101"/>
    <x v="2"/>
    <n v="0"/>
    <n v="0"/>
    <n v="3.8"/>
    <s v="Average"/>
  </r>
  <r>
    <s v="Wall-Mounted Toothbrush Toothpaste Holder With Multiple Slots"/>
    <n v="1468"/>
    <n v="1699"/>
    <n v="0.14000000000000001"/>
    <n v="231"/>
    <x v="2"/>
    <n v="0"/>
    <n v="0"/>
    <n v="3.8"/>
    <s v="Average"/>
  </r>
  <r>
    <s v="Multifunctional Hanging Storage Box Storage Bag (4 Layers)"/>
    <n v="630"/>
    <n v="1100"/>
    <n v="0.43"/>
    <n v="470"/>
    <x v="1"/>
    <n v="0"/>
    <n v="0"/>
    <n v="3.8"/>
    <s v="Average"/>
  </r>
  <r>
    <s v="Wall Clock With Hidden Safe Box"/>
    <n v="850"/>
    <n v="1700"/>
    <n v="0.5"/>
    <n v="850"/>
    <x v="1"/>
    <n v="0"/>
    <n v="0"/>
    <n v="3.8"/>
    <s v="Average"/>
  </r>
  <r>
    <s v="Portable Wine Table With Folding Round Table"/>
    <n v="1300"/>
    <n v="2500"/>
    <n v="0.48"/>
    <n v="1200"/>
    <x v="1"/>
    <n v="0"/>
    <n v="0"/>
    <n v="3.8"/>
    <s v="Average"/>
  </r>
  <r>
    <s v="Sewing Machine Needle Threader Stitch Insertion Tool Automatic Quick Sewing"/>
    <n v="105"/>
    <n v="200"/>
    <n v="0.48"/>
    <n v="95"/>
    <x v="1"/>
    <n v="0"/>
    <n v="0"/>
    <n v="3.8"/>
    <s v="Average"/>
  </r>
  <r>
    <s v="6 Layers Steel Pipe Assembling Dustproof Storage Shoe Cabinet"/>
    <n v="899"/>
    <n v="1699"/>
    <n v="0.47"/>
    <n v="800"/>
    <x v="1"/>
    <n v="0"/>
    <n v="0"/>
    <n v="3.8"/>
    <s v="Average"/>
  </r>
  <r>
    <s v="2PCS Ice Silk Square Cushion Cover Pillowcases - 65x65cm"/>
    <n v="1200"/>
    <n v="2400"/>
    <n v="0.5"/>
    <n v="1200"/>
    <x v="1"/>
    <n v="0"/>
    <n v="0"/>
    <n v="3.8"/>
    <s v="Average"/>
  </r>
  <r>
    <s v="Wall Mount Automatic Toothpaste Dispenser Toothbrush Holder Toothpaste Squeezer"/>
    <n v="1526"/>
    <n v="1660"/>
    <n v="0.08"/>
    <n v="134"/>
    <x v="2"/>
    <n v="0"/>
    <n v="0"/>
    <n v="3.8"/>
    <s v="Average"/>
  </r>
  <r>
    <s v="Portable Soap Dispenser Kitchen Detergent Press Box Kitchen Tools"/>
    <n v="1462"/>
    <n v="1499"/>
    <n v="0.02"/>
    <n v="37"/>
    <x v="2"/>
    <n v="0"/>
    <n v="0"/>
    <n v="3.8"/>
    <s v="Average"/>
  </r>
  <r>
    <s v="4 Piece Coloured Stainless Steel Kitchenware Set"/>
    <n v="248"/>
    <n v="486"/>
    <n v="0.49"/>
    <n v="238"/>
    <x v="1"/>
    <n v="0"/>
    <n v="0"/>
    <n v="3.8"/>
    <s v="Average"/>
  </r>
  <r>
    <s v="Metal Wall Clock Silver Dial Crystal Jewelry Round Home Decoration Wall Clock"/>
    <n v="3546"/>
    <n v="3699"/>
    <n v="0.04"/>
    <n v="153"/>
    <x v="2"/>
    <n v="0"/>
    <n v="0"/>
    <n v="3.8"/>
    <s v="Average"/>
  </r>
  <r>
    <s v="Baby Early Education Shape And Color Cognitive Training Toys"/>
    <n v="525"/>
    <n v="1029"/>
    <n v="0.49"/>
    <n v="504"/>
    <x v="1"/>
    <n v="0"/>
    <n v="0"/>
    <n v="3.8"/>
    <s v="Average"/>
  </r>
  <r>
    <s v="8in1 Screwdriver With LED Light"/>
    <n v="1080"/>
    <n v="1874"/>
    <n v="0.42"/>
    <n v="794"/>
    <x v="1"/>
    <n v="0"/>
    <n v="0"/>
    <n v="3.8"/>
    <s v="Average"/>
  </r>
  <r>
    <s v="Konka Healty Electric Kettle, 24-hour Heat Preservation,1.5L,800W, White"/>
    <n v="3640"/>
    <n v="4588"/>
    <n v="0.21"/>
    <n v="948"/>
    <x v="0"/>
    <n v="-1"/>
    <n v="1"/>
    <n v="5"/>
    <s v="Execellent"/>
  </r>
  <r>
    <s v="9pcs Gas Mask, For Painting, Dust, Formaldehyde Grinding, Polishing"/>
    <n v="1420"/>
    <n v="2420"/>
    <n v="0.41"/>
    <n v="1000"/>
    <x v="1"/>
    <n v="0"/>
    <n v="0"/>
    <n v="3.8"/>
    <s v="Average"/>
  </r>
  <r>
    <s v="24 Grid Wall-mounted Sundries Organiser Fabric Closet Bag Storage Rack"/>
    <n v="1875"/>
    <n v="1899"/>
    <n v="0.01"/>
    <n v="24"/>
    <x v="2"/>
    <n v="0"/>
    <n v="0"/>
    <n v="3.8"/>
    <s v="Average"/>
  </r>
  <r>
    <s v="1PC Refrigerator Food Seal Pocket Fridge Bags"/>
    <n v="198"/>
    <n v="260"/>
    <n v="0.24"/>
    <n v="62"/>
    <x v="0"/>
    <n v="0"/>
    <n v="0"/>
    <n v="3.8"/>
    <s v="Average"/>
  </r>
  <r>
    <s v="LED Solar Street Light-fake Camera"/>
    <n v="1150"/>
    <n v="1737"/>
    <n v="0.34"/>
    <n v="587"/>
    <x v="0"/>
    <n v="0"/>
    <n v="0"/>
    <n v="3.8"/>
    <s v="Average"/>
  </r>
  <r>
    <s v="Cartoon Embroidered Mini Towel Bear Cotton Wash Cloth Hand 4pcs"/>
    <n v="1190"/>
    <n v="1810"/>
    <n v="0.34"/>
    <n v="620"/>
    <x v="0"/>
    <n v="0"/>
    <n v="0"/>
    <n v="3.8"/>
    <s v="Average"/>
  </r>
  <r>
    <s v="Shower Nozzle Cleaning Unclogging Needle Mini Crevice Small Hole Cleaning Brush"/>
    <n v="1658"/>
    <n v="1699"/>
    <n v="0.02"/>
    <n v="41"/>
    <x v="2"/>
    <n v="0"/>
    <n v="0"/>
    <n v="3.8"/>
    <s v="Average"/>
  </r>
  <r>
    <s v="Thickening Multipurpose Non Stick Easy To Clean Heat Resistant Spoon Pad"/>
    <n v="1768"/>
    <n v="1799"/>
    <n v="0.02"/>
    <n v="31"/>
    <x v="2"/>
    <n v="0"/>
    <n v="0"/>
    <n v="3.8"/>
    <s v="Average"/>
  </r>
  <r>
    <s v="6 In 1 Bottle Can Opener Multifunctional Easy Opener"/>
    <n v="199"/>
    <n v="553"/>
    <n v="0.64"/>
    <n v="354"/>
    <x v="1"/>
    <n v="0"/>
    <n v="0"/>
    <n v="3.8"/>
    <s v="Average"/>
  </r>
  <r>
    <s v="Wall-mounted Sticker Punch-free Plug Fixer"/>
    <n v="450"/>
    <n v="900"/>
    <n v="0.5"/>
    <n v="450"/>
    <x v="1"/>
    <n v="-1"/>
    <n v="1"/>
    <n v="2"/>
    <s v="Poor"/>
  </r>
  <r>
    <s v="Black Simple Water Cup Wine Coaster Anti Slip Absorbent"/>
    <n v="169"/>
    <n v="320"/>
    <n v="0.47"/>
    <n v="151"/>
    <x v="1"/>
    <n v="0"/>
    <n v="0"/>
    <n v="3.8"/>
    <s v="Average"/>
  </r>
  <r>
    <m/>
    <m/>
    <m/>
    <m/>
    <m/>
    <x v="3"/>
    <m/>
    <m/>
    <m/>
    <m/>
  </r>
</pivotCacheRecords>
</file>

<file path=xl/pivotCache/pivotCacheRecords2.xml><?xml version="1.0" encoding="utf-8"?>
<pivotCacheRecords xmlns="http://schemas.openxmlformats.org/spreadsheetml/2006/main" xmlns:r="http://schemas.openxmlformats.org/officeDocument/2006/relationships" count="109">
  <r>
    <x v="0"/>
    <n v="950"/>
    <n v="1525"/>
    <x v="0"/>
    <n v="575"/>
    <x v="0"/>
    <n v="-2"/>
    <x v="0"/>
    <x v="0"/>
    <x v="0"/>
  </r>
  <r>
    <x v="1"/>
    <n v="527"/>
    <n v="999"/>
    <x v="1"/>
    <n v="472"/>
    <x v="1"/>
    <n v="-14"/>
    <x v="1"/>
    <x v="1"/>
    <x v="1"/>
  </r>
  <r>
    <x v="2"/>
    <n v="2199"/>
    <n v="2923"/>
    <x v="2"/>
    <n v="724"/>
    <x v="0"/>
    <n v="-24"/>
    <x v="2"/>
    <x v="2"/>
    <x v="0"/>
  </r>
  <r>
    <x v="3"/>
    <n v="1580"/>
    <n v="2499"/>
    <x v="3"/>
    <n v="919"/>
    <x v="0"/>
    <n v="-7"/>
    <x v="3"/>
    <x v="3"/>
    <x v="0"/>
  </r>
  <r>
    <x v="4"/>
    <n v="1740"/>
    <n v="2356"/>
    <x v="4"/>
    <n v="616"/>
    <x v="0"/>
    <n v="-5"/>
    <x v="4"/>
    <x v="4"/>
    <x v="0"/>
  </r>
  <r>
    <x v="5"/>
    <n v="2999"/>
    <n v="3290"/>
    <x v="5"/>
    <n v="291"/>
    <x v="2"/>
    <n v="-15"/>
    <x v="5"/>
    <x v="5"/>
    <x v="1"/>
  </r>
  <r>
    <x v="6"/>
    <n v="2319"/>
    <n v="3032"/>
    <x v="6"/>
    <n v="713"/>
    <x v="0"/>
    <n v="-55"/>
    <x v="6"/>
    <x v="2"/>
    <x v="0"/>
  </r>
  <r>
    <x v="7"/>
    <n v="988"/>
    <n v="1580"/>
    <x v="3"/>
    <n v="592"/>
    <x v="0"/>
    <n v="-2"/>
    <x v="0"/>
    <x v="5"/>
    <x v="1"/>
  </r>
  <r>
    <x v="8"/>
    <n v="1274"/>
    <n v="2800"/>
    <x v="7"/>
    <n v="1526"/>
    <x v="1"/>
    <n v="-5"/>
    <x v="4"/>
    <x v="4"/>
    <x v="0"/>
  </r>
  <r>
    <x v="9"/>
    <n v="1600"/>
    <n v="2929"/>
    <x v="8"/>
    <n v="1329"/>
    <x v="1"/>
    <n v="-5"/>
    <x v="4"/>
    <x v="6"/>
    <x v="1"/>
  </r>
  <r>
    <x v="10"/>
    <n v="799"/>
    <n v="999"/>
    <x v="9"/>
    <n v="200"/>
    <x v="0"/>
    <n v="-12"/>
    <x v="7"/>
    <x v="1"/>
    <x v="1"/>
  </r>
  <r>
    <x v="11"/>
    <n v="990"/>
    <n v="1500"/>
    <x v="10"/>
    <n v="510"/>
    <x v="0"/>
    <n v="-39"/>
    <x v="8"/>
    <x v="3"/>
    <x v="0"/>
  </r>
  <r>
    <x v="12"/>
    <n v="552"/>
    <n v="1035"/>
    <x v="1"/>
    <n v="483"/>
    <x v="1"/>
    <n v="-12"/>
    <x v="7"/>
    <x v="4"/>
    <x v="0"/>
  </r>
  <r>
    <x v="13"/>
    <n v="501"/>
    <n v="860"/>
    <x v="11"/>
    <n v="359"/>
    <x v="1"/>
    <n v="-6"/>
    <x v="9"/>
    <x v="0"/>
    <x v="0"/>
  </r>
  <r>
    <x v="14"/>
    <n v="1680"/>
    <n v="2499"/>
    <x v="12"/>
    <n v="819"/>
    <x v="0"/>
    <n v="-9"/>
    <x v="10"/>
    <x v="7"/>
    <x v="1"/>
  </r>
  <r>
    <x v="15"/>
    <n v="332"/>
    <n v="684"/>
    <x v="13"/>
    <n v="352"/>
    <x v="1"/>
    <n v="-2"/>
    <x v="0"/>
    <x v="8"/>
    <x v="0"/>
  </r>
  <r>
    <x v="16"/>
    <n v="195"/>
    <n v="360"/>
    <x v="14"/>
    <n v="165"/>
    <x v="1"/>
    <n v="-2"/>
    <x v="0"/>
    <x v="8"/>
    <x v="0"/>
  </r>
  <r>
    <x v="17"/>
    <n v="2025"/>
    <n v="3971"/>
    <x v="15"/>
    <n v="1946"/>
    <x v="1"/>
    <n v="-3"/>
    <x v="11"/>
    <x v="8"/>
    <x v="0"/>
  </r>
  <r>
    <x v="18"/>
    <n v="2999"/>
    <n v="3699"/>
    <x v="16"/>
    <n v="700"/>
    <x v="2"/>
    <n v="-5"/>
    <x v="4"/>
    <x v="2"/>
    <x v="0"/>
  </r>
  <r>
    <x v="19"/>
    <n v="998"/>
    <n v="1966"/>
    <x v="15"/>
    <n v="968"/>
    <x v="1"/>
    <n v="-44"/>
    <x v="12"/>
    <x v="2"/>
    <x v="0"/>
  </r>
  <r>
    <x v="20"/>
    <n v="38"/>
    <n v="80"/>
    <x v="17"/>
    <n v="42"/>
    <x v="1"/>
    <n v="-13"/>
    <x v="13"/>
    <x v="9"/>
    <x v="1"/>
  </r>
  <r>
    <x v="21"/>
    <n v="1860"/>
    <n v="3220"/>
    <x v="11"/>
    <n v="1360"/>
    <x v="1"/>
    <n v="0"/>
    <x v="14"/>
    <x v="9"/>
    <x v="1"/>
  </r>
  <r>
    <x v="22"/>
    <n v="880"/>
    <n v="1350"/>
    <x v="18"/>
    <n v="470"/>
    <x v="0"/>
    <n v="-6"/>
    <x v="9"/>
    <x v="5"/>
    <x v="1"/>
  </r>
  <r>
    <x v="23"/>
    <n v="1650"/>
    <n v="2150"/>
    <x v="19"/>
    <n v="500"/>
    <x v="0"/>
    <n v="-14"/>
    <x v="1"/>
    <x v="10"/>
    <x v="1"/>
  </r>
  <r>
    <x v="24"/>
    <n v="2048"/>
    <n v="4500"/>
    <x v="20"/>
    <n v="2452"/>
    <x v="1"/>
    <n v="-7"/>
    <x v="3"/>
    <x v="11"/>
    <x v="1"/>
  </r>
  <r>
    <x v="25"/>
    <n v="420"/>
    <n v="647"/>
    <x v="18"/>
    <n v="227"/>
    <x v="0"/>
    <n v="-49"/>
    <x v="15"/>
    <x v="2"/>
    <x v="0"/>
  </r>
  <r>
    <x v="26"/>
    <n v="2880"/>
    <n v="3520"/>
    <x v="21"/>
    <n v="640"/>
    <x v="2"/>
    <n v="-12"/>
    <x v="7"/>
    <x v="6"/>
    <x v="1"/>
  </r>
  <r>
    <x v="27"/>
    <n v="1350"/>
    <n v="1990"/>
    <x v="22"/>
    <n v="640"/>
    <x v="0"/>
    <n v="-13"/>
    <x v="13"/>
    <x v="6"/>
    <x v="1"/>
  </r>
  <r>
    <x v="28"/>
    <n v="1758"/>
    <n v="2499"/>
    <x v="23"/>
    <n v="741"/>
    <x v="0"/>
    <n v="-20"/>
    <x v="16"/>
    <x v="1"/>
    <x v="1"/>
  </r>
  <r>
    <x v="29"/>
    <n v="2200"/>
    <n v="4080"/>
    <x v="14"/>
    <n v="1880"/>
    <x v="1"/>
    <n v="0"/>
    <x v="14"/>
    <x v="6"/>
    <x v="1"/>
  </r>
  <r>
    <x v="30"/>
    <n v="185"/>
    <n v="382"/>
    <x v="24"/>
    <n v="197"/>
    <x v="1"/>
    <n v="-9"/>
    <x v="10"/>
    <x v="11"/>
    <x v="1"/>
  </r>
  <r>
    <x v="31"/>
    <n v="980"/>
    <n v="1490"/>
    <x v="10"/>
    <n v="510"/>
    <x v="0"/>
    <n v="-12"/>
    <x v="7"/>
    <x v="3"/>
    <x v="0"/>
  </r>
  <r>
    <x v="32"/>
    <n v="1820"/>
    <n v="3490"/>
    <x v="25"/>
    <n v="1670"/>
    <x v="1"/>
    <n v="-9"/>
    <x v="10"/>
    <x v="11"/>
    <x v="1"/>
  </r>
  <r>
    <x v="33"/>
    <n v="1940"/>
    <n v="2650"/>
    <x v="26"/>
    <n v="710"/>
    <x v="0"/>
    <n v="-20"/>
    <x v="16"/>
    <x v="3"/>
    <x v="0"/>
  </r>
  <r>
    <x v="34"/>
    <n v="1980"/>
    <n v="2699"/>
    <x v="26"/>
    <n v="719"/>
    <x v="0"/>
    <n v="-32"/>
    <x v="17"/>
    <x v="0"/>
    <x v="0"/>
  </r>
  <r>
    <x v="35"/>
    <n v="1620"/>
    <n v="2690"/>
    <x v="27"/>
    <n v="1070"/>
    <x v="0"/>
    <n v="-1"/>
    <x v="18"/>
    <x v="8"/>
    <x v="0"/>
  </r>
  <r>
    <x v="36"/>
    <n v="171"/>
    <n v="360"/>
    <x v="17"/>
    <n v="189"/>
    <x v="1"/>
    <n v="-2"/>
    <x v="0"/>
    <x v="8"/>
    <x v="0"/>
  </r>
  <r>
    <x v="37"/>
    <n v="389"/>
    <n v="656"/>
    <x v="28"/>
    <n v="267"/>
    <x v="1"/>
    <n v="-36"/>
    <x v="19"/>
    <x v="11"/>
    <x v="1"/>
  </r>
  <r>
    <x v="38"/>
    <n v="1800"/>
    <n v="2700"/>
    <x v="0"/>
    <n v="900"/>
    <x v="0"/>
    <n v="-2"/>
    <x v="0"/>
    <x v="0"/>
    <x v="0"/>
  </r>
  <r>
    <x v="39"/>
    <n v="2750"/>
    <n v="4471"/>
    <x v="0"/>
    <n v="1721"/>
    <x v="0"/>
    <n v="0"/>
    <x v="14"/>
    <x v="6"/>
    <x v="1"/>
  </r>
  <r>
    <x v="40"/>
    <n v="475"/>
    <n v="931"/>
    <x v="15"/>
    <n v="456"/>
    <x v="1"/>
    <n v="0"/>
    <x v="14"/>
    <x v="6"/>
    <x v="1"/>
  </r>
  <r>
    <x v="41"/>
    <n v="238"/>
    <n v="476"/>
    <x v="29"/>
    <n v="238"/>
    <x v="1"/>
    <n v="0"/>
    <x v="14"/>
    <x v="6"/>
    <x v="1"/>
  </r>
  <r>
    <x v="42"/>
    <n v="610"/>
    <n v="1060"/>
    <x v="11"/>
    <n v="450"/>
    <x v="1"/>
    <n v="0"/>
    <x v="14"/>
    <x v="6"/>
    <x v="1"/>
  </r>
  <r>
    <x v="43"/>
    <n v="2132"/>
    <n v="2169"/>
    <x v="30"/>
    <n v="37"/>
    <x v="2"/>
    <n v="0"/>
    <x v="14"/>
    <x v="6"/>
    <x v="1"/>
  </r>
  <r>
    <x v="44"/>
    <n v="999"/>
    <n v="2000"/>
    <x v="29"/>
    <n v="1001"/>
    <x v="1"/>
    <n v="0"/>
    <x v="14"/>
    <x v="6"/>
    <x v="1"/>
  </r>
  <r>
    <x v="45"/>
    <n v="1190"/>
    <n v="1785"/>
    <x v="12"/>
    <n v="595"/>
    <x v="0"/>
    <n v="0"/>
    <x v="14"/>
    <x v="6"/>
    <x v="1"/>
  </r>
  <r>
    <x v="46"/>
    <n v="671"/>
    <n v="1316"/>
    <x v="15"/>
    <n v="645"/>
    <x v="1"/>
    <n v="0"/>
    <x v="14"/>
    <x v="6"/>
    <x v="1"/>
  </r>
  <r>
    <x v="47"/>
    <n v="1200"/>
    <n v="1950"/>
    <x v="0"/>
    <n v="750"/>
    <x v="0"/>
    <n v="0"/>
    <x v="14"/>
    <x v="6"/>
    <x v="1"/>
  </r>
  <r>
    <x v="48"/>
    <n v="199"/>
    <n v="504"/>
    <x v="31"/>
    <n v="305"/>
    <x v="1"/>
    <n v="0"/>
    <x v="14"/>
    <x v="6"/>
    <x v="1"/>
  </r>
  <r>
    <x v="49"/>
    <n v="299"/>
    <n v="600"/>
    <x v="29"/>
    <n v="301"/>
    <x v="1"/>
    <n v="0"/>
    <x v="14"/>
    <x v="6"/>
    <x v="1"/>
  </r>
  <r>
    <x v="50"/>
    <n v="1660"/>
    <n v="1699"/>
    <x v="30"/>
    <n v="39"/>
    <x v="2"/>
    <n v="0"/>
    <x v="14"/>
    <x v="6"/>
    <x v="1"/>
  </r>
  <r>
    <x v="51"/>
    <n v="299"/>
    <n v="384"/>
    <x v="32"/>
    <n v="85"/>
    <x v="0"/>
    <n v="0"/>
    <x v="14"/>
    <x v="6"/>
    <x v="1"/>
  </r>
  <r>
    <x v="52"/>
    <n v="1459"/>
    <n v="1499"/>
    <x v="33"/>
    <n v="40"/>
    <x v="2"/>
    <n v="0"/>
    <x v="14"/>
    <x v="6"/>
    <x v="1"/>
  </r>
  <r>
    <x v="53"/>
    <n v="799"/>
    <n v="1343"/>
    <x v="28"/>
    <n v="544"/>
    <x v="1"/>
    <n v="0"/>
    <x v="14"/>
    <x v="6"/>
    <x v="1"/>
  </r>
  <r>
    <x v="54"/>
    <n v="499"/>
    <n v="900"/>
    <x v="8"/>
    <n v="401"/>
    <x v="1"/>
    <n v="0"/>
    <x v="14"/>
    <x v="6"/>
    <x v="1"/>
  </r>
  <r>
    <x v="55"/>
    <n v="699"/>
    <n v="1343"/>
    <x v="25"/>
    <n v="644"/>
    <x v="1"/>
    <n v="0"/>
    <x v="14"/>
    <x v="6"/>
    <x v="1"/>
  </r>
  <r>
    <x v="56"/>
    <n v="799"/>
    <n v="1567"/>
    <x v="15"/>
    <n v="768"/>
    <x v="1"/>
    <n v="0"/>
    <x v="14"/>
    <x v="6"/>
    <x v="1"/>
  </r>
  <r>
    <x v="57"/>
    <n v="2799"/>
    <n v="3810"/>
    <x v="26"/>
    <n v="1011"/>
    <x v="0"/>
    <n v="0"/>
    <x v="14"/>
    <x v="6"/>
    <x v="1"/>
  </r>
  <r>
    <x v="58"/>
    <n v="2170"/>
    <n v="2500"/>
    <x v="34"/>
    <n v="330"/>
    <x v="2"/>
    <n v="-6"/>
    <x v="9"/>
    <x v="12"/>
    <x v="2"/>
  </r>
  <r>
    <x v="59"/>
    <n v="458"/>
    <n v="986"/>
    <x v="20"/>
    <n v="528"/>
    <x v="1"/>
    <n v="-10"/>
    <x v="20"/>
    <x v="13"/>
    <x v="1"/>
  </r>
  <r>
    <x v="60"/>
    <n v="2115"/>
    <n v="4700"/>
    <x v="7"/>
    <n v="2585"/>
    <x v="1"/>
    <n v="-13"/>
    <x v="13"/>
    <x v="14"/>
    <x v="2"/>
  </r>
  <r>
    <x v="61"/>
    <n v="445"/>
    <n v="873"/>
    <x v="15"/>
    <n v="428"/>
    <x v="1"/>
    <n v="-69"/>
    <x v="21"/>
    <x v="15"/>
    <x v="2"/>
  </r>
  <r>
    <x v="62"/>
    <n v="325"/>
    <n v="680"/>
    <x v="24"/>
    <n v="355"/>
    <x v="1"/>
    <n v="-15"/>
    <x v="5"/>
    <x v="16"/>
    <x v="2"/>
  </r>
  <r>
    <x v="63"/>
    <n v="1220"/>
    <n v="1555"/>
    <x v="32"/>
    <n v="335"/>
    <x v="0"/>
    <n v="-16"/>
    <x v="22"/>
    <x v="17"/>
    <x v="2"/>
  </r>
  <r>
    <x v="64"/>
    <n v="990"/>
    <n v="1814"/>
    <x v="8"/>
    <n v="824"/>
    <x v="1"/>
    <n v="-6"/>
    <x v="9"/>
    <x v="18"/>
    <x v="2"/>
  </r>
  <r>
    <x v="65"/>
    <n v="1000"/>
    <n v="2000"/>
    <x v="29"/>
    <n v="1000"/>
    <x v="1"/>
    <n v="-7"/>
    <x v="3"/>
    <x v="19"/>
    <x v="2"/>
  </r>
  <r>
    <x v="66"/>
    <n v="3750"/>
    <n v="6143"/>
    <x v="35"/>
    <n v="2393"/>
    <x v="0"/>
    <n v="-5"/>
    <x v="4"/>
    <x v="13"/>
    <x v="1"/>
  </r>
  <r>
    <x v="67"/>
    <n v="382"/>
    <n v="700"/>
    <x v="8"/>
    <n v="318"/>
    <x v="1"/>
    <n v="-17"/>
    <x v="23"/>
    <x v="20"/>
    <x v="2"/>
  </r>
  <r>
    <x v="68"/>
    <n v="2300"/>
    <n v="3240"/>
    <x v="36"/>
    <n v="940"/>
    <x v="0"/>
    <n v="-5"/>
    <x v="4"/>
    <x v="13"/>
    <x v="1"/>
  </r>
  <r>
    <x v="69"/>
    <n v="345"/>
    <n v="602"/>
    <x v="37"/>
    <n v="257"/>
    <x v="1"/>
    <n v="-6"/>
    <x v="9"/>
    <x v="19"/>
    <x v="2"/>
  </r>
  <r>
    <x v="70"/>
    <n v="509"/>
    <n v="899"/>
    <x v="37"/>
    <n v="390"/>
    <x v="1"/>
    <n v="-5"/>
    <x v="4"/>
    <x v="13"/>
    <x v="1"/>
  </r>
  <r>
    <x v="71"/>
    <n v="968"/>
    <n v="1814"/>
    <x v="1"/>
    <n v="846"/>
    <x v="1"/>
    <n v="-6"/>
    <x v="9"/>
    <x v="18"/>
    <x v="2"/>
  </r>
  <r>
    <x v="72"/>
    <n v="1570"/>
    <n v="2988"/>
    <x v="1"/>
    <n v="1418"/>
    <x v="1"/>
    <n v="-7"/>
    <x v="3"/>
    <x v="14"/>
    <x v="2"/>
  </r>
  <r>
    <x v="73"/>
    <n v="790"/>
    <n v="1485"/>
    <x v="1"/>
    <n v="695"/>
    <x v="1"/>
    <n v="0"/>
    <x v="14"/>
    <x v="6"/>
    <x v="1"/>
  </r>
  <r>
    <x v="74"/>
    <n v="690"/>
    <n v="1200"/>
    <x v="37"/>
    <n v="510"/>
    <x v="1"/>
    <n v="0"/>
    <x v="14"/>
    <x v="6"/>
    <x v="1"/>
  </r>
  <r>
    <x v="75"/>
    <n v="1732"/>
    <n v="1799"/>
    <x v="38"/>
    <n v="67"/>
    <x v="2"/>
    <n v="0"/>
    <x v="14"/>
    <x v="6"/>
    <x v="1"/>
  </r>
  <r>
    <x v="76"/>
    <n v="230"/>
    <n v="450"/>
    <x v="15"/>
    <n v="220"/>
    <x v="1"/>
    <n v="0"/>
    <x v="14"/>
    <x v="6"/>
    <x v="1"/>
  </r>
  <r>
    <x v="77"/>
    <n v="1189"/>
    <n v="2199"/>
    <x v="14"/>
    <n v="1010"/>
    <x v="1"/>
    <n v="-1"/>
    <x v="18"/>
    <x v="13"/>
    <x v="1"/>
  </r>
  <r>
    <x v="78"/>
    <n v="979"/>
    <n v="1920"/>
    <x v="15"/>
    <n v="941"/>
    <x v="1"/>
    <n v="-1"/>
    <x v="18"/>
    <x v="8"/>
    <x v="0"/>
  </r>
  <r>
    <x v="79"/>
    <n v="1460"/>
    <n v="2290"/>
    <x v="39"/>
    <n v="830"/>
    <x v="0"/>
    <n v="0"/>
    <x v="14"/>
    <x v="6"/>
    <x v="1"/>
  </r>
  <r>
    <x v="80"/>
    <n v="1666"/>
    <n v="1699"/>
    <x v="30"/>
    <n v="33"/>
    <x v="2"/>
    <n v="0"/>
    <x v="14"/>
    <x v="6"/>
    <x v="1"/>
  </r>
  <r>
    <x v="81"/>
    <n v="330"/>
    <n v="647"/>
    <x v="15"/>
    <n v="317"/>
    <x v="1"/>
    <n v="-1"/>
    <x v="18"/>
    <x v="5"/>
    <x v="1"/>
  </r>
  <r>
    <x v="82"/>
    <n v="1466"/>
    <n v="1699"/>
    <x v="40"/>
    <n v="233"/>
    <x v="2"/>
    <n v="0"/>
    <x v="14"/>
    <x v="6"/>
    <x v="1"/>
  </r>
  <r>
    <x v="83"/>
    <n v="274"/>
    <n v="537"/>
    <x v="15"/>
    <n v="263"/>
    <x v="1"/>
    <n v="0"/>
    <x v="14"/>
    <x v="6"/>
    <x v="1"/>
  </r>
  <r>
    <x v="84"/>
    <n v="799"/>
    <n v="900"/>
    <x v="41"/>
    <n v="101"/>
    <x v="2"/>
    <n v="0"/>
    <x v="14"/>
    <x v="6"/>
    <x v="1"/>
  </r>
  <r>
    <x v="85"/>
    <n v="1468"/>
    <n v="1699"/>
    <x v="40"/>
    <n v="231"/>
    <x v="2"/>
    <n v="0"/>
    <x v="14"/>
    <x v="6"/>
    <x v="1"/>
  </r>
  <r>
    <x v="86"/>
    <n v="630"/>
    <n v="1100"/>
    <x v="37"/>
    <n v="470"/>
    <x v="1"/>
    <n v="0"/>
    <x v="14"/>
    <x v="6"/>
    <x v="1"/>
  </r>
  <r>
    <x v="87"/>
    <n v="850"/>
    <n v="1700"/>
    <x v="29"/>
    <n v="850"/>
    <x v="1"/>
    <n v="0"/>
    <x v="14"/>
    <x v="6"/>
    <x v="1"/>
  </r>
  <r>
    <x v="88"/>
    <n v="1300"/>
    <n v="2500"/>
    <x v="25"/>
    <n v="1200"/>
    <x v="1"/>
    <n v="0"/>
    <x v="14"/>
    <x v="6"/>
    <x v="1"/>
  </r>
  <r>
    <x v="89"/>
    <n v="105"/>
    <n v="200"/>
    <x v="25"/>
    <n v="95"/>
    <x v="1"/>
    <n v="0"/>
    <x v="14"/>
    <x v="6"/>
    <x v="1"/>
  </r>
  <r>
    <x v="90"/>
    <n v="899"/>
    <n v="1699"/>
    <x v="1"/>
    <n v="800"/>
    <x v="1"/>
    <n v="0"/>
    <x v="14"/>
    <x v="6"/>
    <x v="1"/>
  </r>
  <r>
    <x v="91"/>
    <n v="1200"/>
    <n v="2400"/>
    <x v="29"/>
    <n v="1200"/>
    <x v="1"/>
    <n v="0"/>
    <x v="14"/>
    <x v="6"/>
    <x v="1"/>
  </r>
  <r>
    <x v="92"/>
    <n v="1526"/>
    <n v="1660"/>
    <x v="42"/>
    <n v="134"/>
    <x v="2"/>
    <n v="0"/>
    <x v="14"/>
    <x v="6"/>
    <x v="1"/>
  </r>
  <r>
    <x v="93"/>
    <n v="1462"/>
    <n v="1499"/>
    <x v="30"/>
    <n v="37"/>
    <x v="2"/>
    <n v="0"/>
    <x v="14"/>
    <x v="6"/>
    <x v="1"/>
  </r>
  <r>
    <x v="94"/>
    <n v="248"/>
    <n v="486"/>
    <x v="15"/>
    <n v="238"/>
    <x v="1"/>
    <n v="0"/>
    <x v="14"/>
    <x v="6"/>
    <x v="1"/>
  </r>
  <r>
    <x v="95"/>
    <n v="3546"/>
    <n v="3699"/>
    <x v="38"/>
    <n v="153"/>
    <x v="2"/>
    <n v="0"/>
    <x v="14"/>
    <x v="6"/>
    <x v="1"/>
  </r>
  <r>
    <x v="96"/>
    <n v="525"/>
    <n v="1029"/>
    <x v="15"/>
    <n v="504"/>
    <x v="1"/>
    <n v="0"/>
    <x v="14"/>
    <x v="6"/>
    <x v="1"/>
  </r>
  <r>
    <x v="97"/>
    <n v="1080"/>
    <n v="1874"/>
    <x v="11"/>
    <n v="794"/>
    <x v="1"/>
    <n v="0"/>
    <x v="14"/>
    <x v="6"/>
    <x v="1"/>
  </r>
  <r>
    <x v="98"/>
    <n v="3640"/>
    <n v="4588"/>
    <x v="43"/>
    <n v="948"/>
    <x v="0"/>
    <n v="-1"/>
    <x v="18"/>
    <x v="8"/>
    <x v="0"/>
  </r>
  <r>
    <x v="99"/>
    <n v="1420"/>
    <n v="2420"/>
    <x v="28"/>
    <n v="1000"/>
    <x v="1"/>
    <n v="0"/>
    <x v="14"/>
    <x v="6"/>
    <x v="1"/>
  </r>
  <r>
    <x v="100"/>
    <n v="1875"/>
    <n v="1899"/>
    <x v="44"/>
    <n v="24"/>
    <x v="2"/>
    <n v="0"/>
    <x v="14"/>
    <x v="6"/>
    <x v="1"/>
  </r>
  <r>
    <x v="101"/>
    <n v="198"/>
    <n v="260"/>
    <x v="6"/>
    <n v="62"/>
    <x v="0"/>
    <n v="0"/>
    <x v="14"/>
    <x v="6"/>
    <x v="1"/>
  </r>
  <r>
    <x v="102"/>
    <n v="1150"/>
    <n v="1737"/>
    <x v="10"/>
    <n v="587"/>
    <x v="0"/>
    <n v="0"/>
    <x v="14"/>
    <x v="6"/>
    <x v="1"/>
  </r>
  <r>
    <x v="103"/>
    <n v="1190"/>
    <n v="1810"/>
    <x v="10"/>
    <n v="620"/>
    <x v="0"/>
    <n v="0"/>
    <x v="14"/>
    <x v="6"/>
    <x v="1"/>
  </r>
  <r>
    <x v="104"/>
    <n v="1658"/>
    <n v="1699"/>
    <x v="30"/>
    <n v="41"/>
    <x v="2"/>
    <n v="0"/>
    <x v="14"/>
    <x v="6"/>
    <x v="1"/>
  </r>
  <r>
    <x v="105"/>
    <n v="1768"/>
    <n v="1799"/>
    <x v="30"/>
    <n v="31"/>
    <x v="2"/>
    <n v="0"/>
    <x v="14"/>
    <x v="6"/>
    <x v="1"/>
  </r>
  <r>
    <x v="106"/>
    <n v="199"/>
    <n v="553"/>
    <x v="45"/>
    <n v="354"/>
    <x v="1"/>
    <n v="0"/>
    <x v="14"/>
    <x v="6"/>
    <x v="1"/>
  </r>
  <r>
    <x v="107"/>
    <n v="450"/>
    <n v="900"/>
    <x v="29"/>
    <n v="450"/>
    <x v="1"/>
    <n v="-1"/>
    <x v="18"/>
    <x v="21"/>
    <x v="2"/>
  </r>
  <r>
    <x v="108"/>
    <n v="169"/>
    <n v="320"/>
    <x v="1"/>
    <n v="151"/>
    <x v="1"/>
    <n v="0"/>
    <x v="14"/>
    <x v="6"/>
    <x v="1"/>
  </r>
</pivotCacheRecords>
</file>

<file path=xl/pivotCache/pivotCacheRecords3.xml><?xml version="1.0" encoding="utf-8"?>
<pivotCacheRecords xmlns="http://schemas.openxmlformats.org/spreadsheetml/2006/main" xmlns:r="http://schemas.openxmlformats.org/officeDocument/2006/relationships" count="115">
  <r>
    <x v="0"/>
    <n v="950"/>
    <n v="1525"/>
    <n v="0.38"/>
    <n v="575"/>
    <x v="0"/>
    <n v="-2"/>
    <x v="0"/>
    <x v="0"/>
    <x v="0"/>
  </r>
  <r>
    <x v="1"/>
    <n v="527"/>
    <n v="999"/>
    <n v="0.47"/>
    <n v="472"/>
    <x v="1"/>
    <n v="-14"/>
    <x v="1"/>
    <x v="1"/>
    <x v="1"/>
  </r>
  <r>
    <x v="2"/>
    <n v="2199"/>
    <n v="2923"/>
    <n v="0.25"/>
    <n v="724"/>
    <x v="0"/>
    <n v="-24"/>
    <x v="2"/>
    <x v="2"/>
    <x v="0"/>
  </r>
  <r>
    <x v="3"/>
    <n v="1580"/>
    <n v="2499"/>
    <n v="0.37"/>
    <n v="919"/>
    <x v="0"/>
    <n v="-7"/>
    <x v="3"/>
    <x v="3"/>
    <x v="0"/>
  </r>
  <r>
    <x v="4"/>
    <n v="1740"/>
    <n v="2356"/>
    <n v="0.26"/>
    <n v="616"/>
    <x v="0"/>
    <n v="-5"/>
    <x v="4"/>
    <x v="4"/>
    <x v="0"/>
  </r>
  <r>
    <x v="5"/>
    <n v="2999"/>
    <n v="3290"/>
    <n v="0.09"/>
    <n v="291"/>
    <x v="2"/>
    <n v="-15"/>
    <x v="5"/>
    <x v="5"/>
    <x v="1"/>
  </r>
  <r>
    <x v="6"/>
    <n v="2319"/>
    <n v="3032"/>
    <n v="0.24"/>
    <n v="713"/>
    <x v="0"/>
    <n v="-55"/>
    <x v="6"/>
    <x v="2"/>
    <x v="0"/>
  </r>
  <r>
    <x v="7"/>
    <n v="988"/>
    <n v="1580"/>
    <n v="0.37"/>
    <n v="592"/>
    <x v="0"/>
    <n v="-2"/>
    <x v="0"/>
    <x v="5"/>
    <x v="1"/>
  </r>
  <r>
    <x v="8"/>
    <n v="1274"/>
    <n v="2800"/>
    <n v="0.55000000000000004"/>
    <n v="1526"/>
    <x v="1"/>
    <n v="-5"/>
    <x v="4"/>
    <x v="4"/>
    <x v="0"/>
  </r>
  <r>
    <x v="9"/>
    <n v="1600"/>
    <n v="2929"/>
    <n v="0.45"/>
    <n v="1329"/>
    <x v="1"/>
    <n v="-5"/>
    <x v="4"/>
    <x v="6"/>
    <x v="1"/>
  </r>
  <r>
    <x v="10"/>
    <n v="799"/>
    <n v="999"/>
    <n v="0.2"/>
    <n v="200"/>
    <x v="0"/>
    <n v="-12"/>
    <x v="7"/>
    <x v="1"/>
    <x v="1"/>
  </r>
  <r>
    <x v="11"/>
    <n v="990"/>
    <n v="1500"/>
    <n v="0.34"/>
    <n v="510"/>
    <x v="0"/>
    <n v="-39"/>
    <x v="8"/>
    <x v="3"/>
    <x v="0"/>
  </r>
  <r>
    <x v="12"/>
    <n v="552"/>
    <n v="1035"/>
    <n v="0.47"/>
    <n v="483"/>
    <x v="1"/>
    <n v="-12"/>
    <x v="7"/>
    <x v="4"/>
    <x v="0"/>
  </r>
  <r>
    <x v="13"/>
    <n v="501"/>
    <n v="860"/>
    <n v="0.42"/>
    <n v="359"/>
    <x v="1"/>
    <n v="-6"/>
    <x v="9"/>
    <x v="0"/>
    <x v="0"/>
  </r>
  <r>
    <x v="14"/>
    <n v="1680"/>
    <n v="2499"/>
    <n v="0.33"/>
    <n v="819"/>
    <x v="0"/>
    <n v="-9"/>
    <x v="10"/>
    <x v="7"/>
    <x v="1"/>
  </r>
  <r>
    <x v="15"/>
    <n v="332"/>
    <n v="684"/>
    <n v="0.51"/>
    <n v="352"/>
    <x v="1"/>
    <n v="-2"/>
    <x v="0"/>
    <x v="8"/>
    <x v="0"/>
  </r>
  <r>
    <x v="16"/>
    <n v="195"/>
    <n v="360"/>
    <n v="0.46"/>
    <n v="165"/>
    <x v="1"/>
    <n v="-2"/>
    <x v="0"/>
    <x v="8"/>
    <x v="0"/>
  </r>
  <r>
    <x v="17"/>
    <n v="2025"/>
    <n v="3971"/>
    <n v="0.49"/>
    <n v="1946"/>
    <x v="1"/>
    <n v="-3"/>
    <x v="11"/>
    <x v="8"/>
    <x v="0"/>
  </r>
  <r>
    <x v="18"/>
    <n v="2999"/>
    <n v="3699"/>
    <n v="0.19"/>
    <n v="700"/>
    <x v="2"/>
    <n v="-5"/>
    <x v="4"/>
    <x v="2"/>
    <x v="0"/>
  </r>
  <r>
    <x v="19"/>
    <n v="998"/>
    <n v="1966"/>
    <n v="0.49"/>
    <n v="968"/>
    <x v="1"/>
    <n v="-44"/>
    <x v="12"/>
    <x v="2"/>
    <x v="0"/>
  </r>
  <r>
    <x v="20"/>
    <n v="38"/>
    <n v="80"/>
    <n v="0.53"/>
    <n v="42"/>
    <x v="1"/>
    <n v="-13"/>
    <x v="13"/>
    <x v="9"/>
    <x v="1"/>
  </r>
  <r>
    <x v="21"/>
    <n v="1860"/>
    <n v="3220"/>
    <n v="0.42"/>
    <n v="1360"/>
    <x v="1"/>
    <n v="0"/>
    <x v="14"/>
    <x v="9"/>
    <x v="1"/>
  </r>
  <r>
    <x v="22"/>
    <n v="880"/>
    <n v="1350"/>
    <n v="0.35"/>
    <n v="470"/>
    <x v="0"/>
    <n v="-6"/>
    <x v="9"/>
    <x v="5"/>
    <x v="1"/>
  </r>
  <r>
    <x v="23"/>
    <n v="1650"/>
    <n v="2150"/>
    <n v="0.23"/>
    <n v="500"/>
    <x v="0"/>
    <n v="-14"/>
    <x v="1"/>
    <x v="10"/>
    <x v="1"/>
  </r>
  <r>
    <x v="24"/>
    <n v="2048"/>
    <n v="4500"/>
    <n v="0.54"/>
    <n v="2452"/>
    <x v="1"/>
    <n v="-7"/>
    <x v="3"/>
    <x v="11"/>
    <x v="1"/>
  </r>
  <r>
    <x v="25"/>
    <n v="420"/>
    <n v="647"/>
    <n v="0.35"/>
    <n v="227"/>
    <x v="0"/>
    <n v="-49"/>
    <x v="15"/>
    <x v="2"/>
    <x v="0"/>
  </r>
  <r>
    <x v="26"/>
    <n v="2880"/>
    <n v="3520"/>
    <n v="0.18"/>
    <n v="640"/>
    <x v="2"/>
    <n v="-12"/>
    <x v="7"/>
    <x v="6"/>
    <x v="1"/>
  </r>
  <r>
    <x v="27"/>
    <n v="1350"/>
    <n v="1990"/>
    <n v="0.32"/>
    <n v="640"/>
    <x v="0"/>
    <n v="-13"/>
    <x v="13"/>
    <x v="6"/>
    <x v="1"/>
  </r>
  <r>
    <x v="28"/>
    <n v="1758"/>
    <n v="2499"/>
    <n v="0.3"/>
    <n v="741"/>
    <x v="0"/>
    <n v="-20"/>
    <x v="16"/>
    <x v="1"/>
    <x v="1"/>
  </r>
  <r>
    <x v="29"/>
    <n v="2200"/>
    <n v="4080"/>
    <n v="0.46"/>
    <n v="1880"/>
    <x v="1"/>
    <n v="0"/>
    <x v="14"/>
    <x v="6"/>
    <x v="1"/>
  </r>
  <r>
    <x v="30"/>
    <n v="185"/>
    <n v="382"/>
    <n v="0.52"/>
    <n v="197"/>
    <x v="1"/>
    <n v="-9"/>
    <x v="10"/>
    <x v="11"/>
    <x v="1"/>
  </r>
  <r>
    <x v="31"/>
    <n v="980"/>
    <n v="1490"/>
    <n v="0.34"/>
    <n v="510"/>
    <x v="0"/>
    <n v="-12"/>
    <x v="7"/>
    <x v="3"/>
    <x v="0"/>
  </r>
  <r>
    <x v="32"/>
    <n v="1820"/>
    <n v="3490"/>
    <n v="0.48"/>
    <n v="1670"/>
    <x v="1"/>
    <n v="-9"/>
    <x v="10"/>
    <x v="11"/>
    <x v="1"/>
  </r>
  <r>
    <x v="33"/>
    <n v="1940"/>
    <n v="2650"/>
    <n v="0.27"/>
    <n v="710"/>
    <x v="0"/>
    <n v="-20"/>
    <x v="16"/>
    <x v="3"/>
    <x v="0"/>
  </r>
  <r>
    <x v="34"/>
    <n v="1980"/>
    <n v="2699"/>
    <n v="0.27"/>
    <n v="719"/>
    <x v="0"/>
    <n v="-32"/>
    <x v="17"/>
    <x v="0"/>
    <x v="0"/>
  </r>
  <r>
    <x v="35"/>
    <n v="1620"/>
    <n v="2690"/>
    <n v="0.4"/>
    <n v="1070"/>
    <x v="0"/>
    <n v="-1"/>
    <x v="18"/>
    <x v="8"/>
    <x v="0"/>
  </r>
  <r>
    <x v="36"/>
    <n v="171"/>
    <n v="360"/>
    <n v="0.53"/>
    <n v="189"/>
    <x v="1"/>
    <n v="-2"/>
    <x v="0"/>
    <x v="8"/>
    <x v="0"/>
  </r>
  <r>
    <x v="37"/>
    <n v="389"/>
    <n v="656"/>
    <n v="0.41"/>
    <n v="267"/>
    <x v="1"/>
    <n v="-36"/>
    <x v="19"/>
    <x v="11"/>
    <x v="1"/>
  </r>
  <r>
    <x v="38"/>
    <n v="1800"/>
    <n v="2700"/>
    <n v="0.38"/>
    <n v="900"/>
    <x v="0"/>
    <n v="-2"/>
    <x v="0"/>
    <x v="0"/>
    <x v="0"/>
  </r>
  <r>
    <x v="39"/>
    <n v="2750"/>
    <n v="4471"/>
    <n v="0.38"/>
    <n v="1721"/>
    <x v="0"/>
    <n v="0"/>
    <x v="14"/>
    <x v="6"/>
    <x v="1"/>
  </r>
  <r>
    <x v="40"/>
    <n v="475"/>
    <n v="931"/>
    <n v="0.49"/>
    <n v="456"/>
    <x v="1"/>
    <n v="0"/>
    <x v="14"/>
    <x v="6"/>
    <x v="1"/>
  </r>
  <r>
    <x v="41"/>
    <n v="238"/>
    <n v="476"/>
    <n v="0.5"/>
    <n v="238"/>
    <x v="1"/>
    <n v="0"/>
    <x v="14"/>
    <x v="6"/>
    <x v="1"/>
  </r>
  <r>
    <x v="42"/>
    <n v="610"/>
    <n v="1060"/>
    <n v="0.42"/>
    <n v="450"/>
    <x v="1"/>
    <n v="0"/>
    <x v="14"/>
    <x v="6"/>
    <x v="1"/>
  </r>
  <r>
    <x v="43"/>
    <n v="2132"/>
    <n v="2169"/>
    <n v="0.02"/>
    <n v="37"/>
    <x v="2"/>
    <n v="0"/>
    <x v="14"/>
    <x v="6"/>
    <x v="1"/>
  </r>
  <r>
    <x v="44"/>
    <n v="999"/>
    <n v="2000"/>
    <n v="0.5"/>
    <n v="1001"/>
    <x v="1"/>
    <n v="0"/>
    <x v="14"/>
    <x v="6"/>
    <x v="1"/>
  </r>
  <r>
    <x v="45"/>
    <n v="1190"/>
    <n v="1785"/>
    <n v="0.33"/>
    <n v="595"/>
    <x v="0"/>
    <n v="0"/>
    <x v="14"/>
    <x v="6"/>
    <x v="1"/>
  </r>
  <r>
    <x v="46"/>
    <n v="671"/>
    <n v="1316"/>
    <n v="0.49"/>
    <n v="645"/>
    <x v="1"/>
    <n v="0"/>
    <x v="14"/>
    <x v="6"/>
    <x v="1"/>
  </r>
  <r>
    <x v="47"/>
    <n v="1200"/>
    <n v="1950"/>
    <n v="0.38"/>
    <n v="750"/>
    <x v="0"/>
    <n v="0"/>
    <x v="14"/>
    <x v="6"/>
    <x v="1"/>
  </r>
  <r>
    <x v="48"/>
    <n v="199"/>
    <n v="504"/>
    <n v="0.61"/>
    <n v="305"/>
    <x v="1"/>
    <n v="0"/>
    <x v="14"/>
    <x v="6"/>
    <x v="1"/>
  </r>
  <r>
    <x v="49"/>
    <n v="299"/>
    <n v="600"/>
    <n v="0.5"/>
    <n v="301"/>
    <x v="1"/>
    <n v="0"/>
    <x v="14"/>
    <x v="6"/>
    <x v="1"/>
  </r>
  <r>
    <x v="50"/>
    <n v="1660"/>
    <n v="1699"/>
    <n v="0.02"/>
    <n v="39"/>
    <x v="2"/>
    <n v="0"/>
    <x v="14"/>
    <x v="6"/>
    <x v="1"/>
  </r>
  <r>
    <x v="51"/>
    <n v="299"/>
    <n v="384"/>
    <n v="0.22"/>
    <n v="85"/>
    <x v="0"/>
    <n v="0"/>
    <x v="14"/>
    <x v="6"/>
    <x v="1"/>
  </r>
  <r>
    <x v="52"/>
    <n v="1459"/>
    <n v="1499"/>
    <n v="0.03"/>
    <n v="40"/>
    <x v="2"/>
    <n v="0"/>
    <x v="14"/>
    <x v="6"/>
    <x v="1"/>
  </r>
  <r>
    <x v="53"/>
    <n v="799"/>
    <n v="1343"/>
    <n v="0.41"/>
    <n v="544"/>
    <x v="1"/>
    <n v="0"/>
    <x v="14"/>
    <x v="6"/>
    <x v="1"/>
  </r>
  <r>
    <x v="54"/>
    <n v="499"/>
    <n v="900"/>
    <n v="0.45"/>
    <n v="401"/>
    <x v="1"/>
    <n v="0"/>
    <x v="14"/>
    <x v="6"/>
    <x v="1"/>
  </r>
  <r>
    <x v="55"/>
    <n v="699"/>
    <n v="1343"/>
    <n v="0.48"/>
    <n v="644"/>
    <x v="1"/>
    <n v="0"/>
    <x v="14"/>
    <x v="6"/>
    <x v="1"/>
  </r>
  <r>
    <x v="56"/>
    <n v="799"/>
    <n v="1567"/>
    <n v="0.49"/>
    <n v="768"/>
    <x v="1"/>
    <n v="0"/>
    <x v="14"/>
    <x v="6"/>
    <x v="1"/>
  </r>
  <r>
    <x v="57"/>
    <n v="2799"/>
    <n v="3810"/>
    <n v="0.27"/>
    <n v="1011"/>
    <x v="0"/>
    <n v="0"/>
    <x v="14"/>
    <x v="6"/>
    <x v="1"/>
  </r>
  <r>
    <x v="58"/>
    <n v="2170"/>
    <n v="2500"/>
    <n v="0.13"/>
    <n v="330"/>
    <x v="2"/>
    <n v="-6"/>
    <x v="9"/>
    <x v="12"/>
    <x v="2"/>
  </r>
  <r>
    <x v="59"/>
    <n v="458"/>
    <n v="986"/>
    <n v="0.54"/>
    <n v="528"/>
    <x v="1"/>
    <n v="-10"/>
    <x v="20"/>
    <x v="13"/>
    <x v="1"/>
  </r>
  <r>
    <x v="60"/>
    <n v="2115"/>
    <n v="4700"/>
    <n v="0.55000000000000004"/>
    <n v="2585"/>
    <x v="1"/>
    <n v="-13"/>
    <x v="13"/>
    <x v="14"/>
    <x v="2"/>
  </r>
  <r>
    <x v="61"/>
    <n v="445"/>
    <n v="873"/>
    <n v="0.49"/>
    <n v="428"/>
    <x v="1"/>
    <n v="-69"/>
    <x v="21"/>
    <x v="15"/>
    <x v="2"/>
  </r>
  <r>
    <x v="62"/>
    <n v="325"/>
    <n v="680"/>
    <n v="0.52"/>
    <n v="355"/>
    <x v="1"/>
    <n v="-15"/>
    <x v="5"/>
    <x v="16"/>
    <x v="2"/>
  </r>
  <r>
    <x v="63"/>
    <n v="1220"/>
    <n v="1555"/>
    <n v="0.22"/>
    <n v="335"/>
    <x v="0"/>
    <n v="-16"/>
    <x v="22"/>
    <x v="17"/>
    <x v="2"/>
  </r>
  <r>
    <x v="64"/>
    <n v="990"/>
    <n v="1814"/>
    <n v="0.45"/>
    <n v="824"/>
    <x v="1"/>
    <n v="-6"/>
    <x v="9"/>
    <x v="18"/>
    <x v="2"/>
  </r>
  <r>
    <x v="65"/>
    <n v="1000"/>
    <n v="2000"/>
    <n v="0.5"/>
    <n v="1000"/>
    <x v="1"/>
    <n v="-7"/>
    <x v="3"/>
    <x v="19"/>
    <x v="2"/>
  </r>
  <r>
    <x v="66"/>
    <n v="3750"/>
    <n v="6143"/>
    <n v="0.39"/>
    <n v="2393"/>
    <x v="0"/>
    <n v="-5"/>
    <x v="4"/>
    <x v="13"/>
    <x v="1"/>
  </r>
  <r>
    <x v="67"/>
    <n v="382"/>
    <n v="700"/>
    <n v="0.45"/>
    <n v="318"/>
    <x v="1"/>
    <n v="-17"/>
    <x v="23"/>
    <x v="20"/>
    <x v="2"/>
  </r>
  <r>
    <x v="68"/>
    <n v="2300"/>
    <n v="3240"/>
    <n v="0.28999999999999998"/>
    <n v="940"/>
    <x v="0"/>
    <n v="-5"/>
    <x v="4"/>
    <x v="13"/>
    <x v="1"/>
  </r>
  <r>
    <x v="69"/>
    <n v="345"/>
    <n v="602"/>
    <n v="0.43"/>
    <n v="257"/>
    <x v="1"/>
    <n v="-6"/>
    <x v="9"/>
    <x v="19"/>
    <x v="2"/>
  </r>
  <r>
    <x v="70"/>
    <n v="509"/>
    <n v="899"/>
    <n v="0.43"/>
    <n v="390"/>
    <x v="1"/>
    <n v="-5"/>
    <x v="4"/>
    <x v="13"/>
    <x v="1"/>
  </r>
  <r>
    <x v="71"/>
    <n v="968"/>
    <n v="1814"/>
    <n v="0.47"/>
    <n v="846"/>
    <x v="1"/>
    <n v="-6"/>
    <x v="9"/>
    <x v="18"/>
    <x v="2"/>
  </r>
  <r>
    <x v="72"/>
    <n v="1570"/>
    <n v="2988"/>
    <n v="0.47"/>
    <n v="1418"/>
    <x v="1"/>
    <n v="-7"/>
    <x v="3"/>
    <x v="14"/>
    <x v="2"/>
  </r>
  <r>
    <x v="73"/>
    <n v="790"/>
    <n v="1485"/>
    <n v="0.47"/>
    <n v="695"/>
    <x v="1"/>
    <n v="0"/>
    <x v="14"/>
    <x v="6"/>
    <x v="1"/>
  </r>
  <r>
    <x v="74"/>
    <n v="690"/>
    <n v="1200"/>
    <n v="0.43"/>
    <n v="510"/>
    <x v="1"/>
    <n v="0"/>
    <x v="14"/>
    <x v="6"/>
    <x v="1"/>
  </r>
  <r>
    <x v="75"/>
    <n v="1732"/>
    <n v="1799"/>
    <n v="0.04"/>
    <n v="67"/>
    <x v="2"/>
    <n v="0"/>
    <x v="14"/>
    <x v="6"/>
    <x v="1"/>
  </r>
  <r>
    <x v="76"/>
    <n v="230"/>
    <n v="450"/>
    <n v="0.49"/>
    <n v="220"/>
    <x v="1"/>
    <n v="0"/>
    <x v="14"/>
    <x v="6"/>
    <x v="1"/>
  </r>
  <r>
    <x v="77"/>
    <n v="1189"/>
    <n v="2199"/>
    <n v="0.46"/>
    <n v="1010"/>
    <x v="1"/>
    <n v="-1"/>
    <x v="18"/>
    <x v="13"/>
    <x v="1"/>
  </r>
  <r>
    <x v="78"/>
    <n v="979"/>
    <n v="1920"/>
    <n v="0.49"/>
    <n v="941"/>
    <x v="1"/>
    <n v="-1"/>
    <x v="18"/>
    <x v="8"/>
    <x v="0"/>
  </r>
  <r>
    <x v="79"/>
    <n v="1460"/>
    <n v="2290"/>
    <n v="0.36"/>
    <n v="830"/>
    <x v="0"/>
    <n v="0"/>
    <x v="14"/>
    <x v="6"/>
    <x v="1"/>
  </r>
  <r>
    <x v="80"/>
    <n v="1666"/>
    <n v="1699"/>
    <n v="0.02"/>
    <n v="33"/>
    <x v="2"/>
    <n v="0"/>
    <x v="14"/>
    <x v="6"/>
    <x v="1"/>
  </r>
  <r>
    <x v="81"/>
    <n v="330"/>
    <n v="647"/>
    <n v="0.49"/>
    <n v="317"/>
    <x v="1"/>
    <n v="-1"/>
    <x v="18"/>
    <x v="5"/>
    <x v="1"/>
  </r>
  <r>
    <x v="82"/>
    <n v="1466"/>
    <n v="1699"/>
    <n v="0.14000000000000001"/>
    <n v="233"/>
    <x v="2"/>
    <n v="0"/>
    <x v="14"/>
    <x v="6"/>
    <x v="1"/>
  </r>
  <r>
    <x v="83"/>
    <n v="274"/>
    <n v="537"/>
    <n v="0.49"/>
    <n v="263"/>
    <x v="1"/>
    <n v="0"/>
    <x v="14"/>
    <x v="6"/>
    <x v="1"/>
  </r>
  <r>
    <x v="84"/>
    <n v="799"/>
    <n v="900"/>
    <n v="0.11"/>
    <n v="101"/>
    <x v="2"/>
    <n v="0"/>
    <x v="14"/>
    <x v="6"/>
    <x v="1"/>
  </r>
  <r>
    <x v="85"/>
    <n v="1468"/>
    <n v="1699"/>
    <n v="0.14000000000000001"/>
    <n v="231"/>
    <x v="2"/>
    <n v="0"/>
    <x v="14"/>
    <x v="6"/>
    <x v="1"/>
  </r>
  <r>
    <x v="86"/>
    <n v="630"/>
    <n v="1100"/>
    <n v="0.43"/>
    <n v="470"/>
    <x v="1"/>
    <n v="0"/>
    <x v="14"/>
    <x v="6"/>
    <x v="1"/>
  </r>
  <r>
    <x v="87"/>
    <n v="850"/>
    <n v="1700"/>
    <n v="0.5"/>
    <n v="850"/>
    <x v="1"/>
    <n v="0"/>
    <x v="14"/>
    <x v="6"/>
    <x v="1"/>
  </r>
  <r>
    <x v="88"/>
    <n v="1300"/>
    <n v="2500"/>
    <n v="0.48"/>
    <n v="1200"/>
    <x v="1"/>
    <n v="0"/>
    <x v="14"/>
    <x v="6"/>
    <x v="1"/>
  </r>
  <r>
    <x v="89"/>
    <n v="105"/>
    <n v="200"/>
    <n v="0.48"/>
    <n v="95"/>
    <x v="1"/>
    <n v="0"/>
    <x v="14"/>
    <x v="6"/>
    <x v="1"/>
  </r>
  <r>
    <x v="90"/>
    <n v="899"/>
    <n v="1699"/>
    <n v="0.47"/>
    <n v="800"/>
    <x v="1"/>
    <n v="0"/>
    <x v="14"/>
    <x v="6"/>
    <x v="1"/>
  </r>
  <r>
    <x v="91"/>
    <n v="1200"/>
    <n v="2400"/>
    <n v="0.5"/>
    <n v="1200"/>
    <x v="1"/>
    <n v="0"/>
    <x v="14"/>
    <x v="6"/>
    <x v="1"/>
  </r>
  <r>
    <x v="92"/>
    <n v="1526"/>
    <n v="1660"/>
    <n v="0.08"/>
    <n v="134"/>
    <x v="2"/>
    <n v="0"/>
    <x v="14"/>
    <x v="6"/>
    <x v="1"/>
  </r>
  <r>
    <x v="93"/>
    <n v="1462"/>
    <n v="1499"/>
    <n v="0.02"/>
    <n v="37"/>
    <x v="2"/>
    <n v="0"/>
    <x v="14"/>
    <x v="6"/>
    <x v="1"/>
  </r>
  <r>
    <x v="94"/>
    <n v="248"/>
    <n v="486"/>
    <n v="0.49"/>
    <n v="238"/>
    <x v="1"/>
    <n v="0"/>
    <x v="14"/>
    <x v="6"/>
    <x v="1"/>
  </r>
  <r>
    <x v="95"/>
    <n v="3546"/>
    <n v="3699"/>
    <n v="0.04"/>
    <n v="153"/>
    <x v="2"/>
    <n v="0"/>
    <x v="14"/>
    <x v="6"/>
    <x v="1"/>
  </r>
  <r>
    <x v="96"/>
    <n v="525"/>
    <n v="1029"/>
    <n v="0.49"/>
    <n v="504"/>
    <x v="1"/>
    <n v="0"/>
    <x v="14"/>
    <x v="6"/>
    <x v="1"/>
  </r>
  <r>
    <x v="97"/>
    <n v="1080"/>
    <n v="1874"/>
    <n v="0.42"/>
    <n v="794"/>
    <x v="1"/>
    <n v="0"/>
    <x v="14"/>
    <x v="6"/>
    <x v="1"/>
  </r>
  <r>
    <x v="98"/>
    <n v="3640"/>
    <n v="4588"/>
    <n v="0.21"/>
    <n v="948"/>
    <x v="0"/>
    <n v="-1"/>
    <x v="18"/>
    <x v="8"/>
    <x v="0"/>
  </r>
  <r>
    <x v="99"/>
    <n v="1420"/>
    <n v="2420"/>
    <n v="0.41"/>
    <n v="1000"/>
    <x v="1"/>
    <n v="0"/>
    <x v="14"/>
    <x v="6"/>
    <x v="1"/>
  </r>
  <r>
    <x v="100"/>
    <n v="1875"/>
    <n v="1899"/>
    <n v="0.01"/>
    <n v="24"/>
    <x v="2"/>
    <n v="0"/>
    <x v="14"/>
    <x v="6"/>
    <x v="1"/>
  </r>
  <r>
    <x v="101"/>
    <n v="198"/>
    <n v="260"/>
    <n v="0.24"/>
    <n v="62"/>
    <x v="0"/>
    <n v="0"/>
    <x v="14"/>
    <x v="6"/>
    <x v="1"/>
  </r>
  <r>
    <x v="102"/>
    <n v="1150"/>
    <n v="1737"/>
    <n v="0.34"/>
    <n v="587"/>
    <x v="0"/>
    <n v="0"/>
    <x v="14"/>
    <x v="6"/>
    <x v="1"/>
  </r>
  <r>
    <x v="103"/>
    <n v="1190"/>
    <n v="1810"/>
    <n v="0.34"/>
    <n v="620"/>
    <x v="0"/>
    <n v="0"/>
    <x v="14"/>
    <x v="6"/>
    <x v="1"/>
  </r>
  <r>
    <x v="104"/>
    <n v="1658"/>
    <n v="1699"/>
    <n v="0.02"/>
    <n v="41"/>
    <x v="2"/>
    <n v="0"/>
    <x v="14"/>
    <x v="6"/>
    <x v="1"/>
  </r>
  <r>
    <x v="105"/>
    <n v="1768"/>
    <n v="1799"/>
    <n v="0.02"/>
    <n v="31"/>
    <x v="2"/>
    <n v="0"/>
    <x v="14"/>
    <x v="6"/>
    <x v="1"/>
  </r>
  <r>
    <x v="106"/>
    <n v="199"/>
    <n v="553"/>
    <n v="0.64"/>
    <n v="354"/>
    <x v="1"/>
    <n v="0"/>
    <x v="14"/>
    <x v="6"/>
    <x v="1"/>
  </r>
  <r>
    <x v="107"/>
    <n v="450"/>
    <n v="900"/>
    <n v="0.5"/>
    <n v="450"/>
    <x v="1"/>
    <n v="-1"/>
    <x v="18"/>
    <x v="21"/>
    <x v="2"/>
  </r>
  <r>
    <x v="108"/>
    <n v="169"/>
    <n v="320"/>
    <n v="0.47"/>
    <n v="151"/>
    <x v="1"/>
    <n v="0"/>
    <x v="14"/>
    <x v="6"/>
    <x v="1"/>
  </r>
  <r>
    <x v="109"/>
    <m/>
    <m/>
    <m/>
    <m/>
    <x v="3"/>
    <m/>
    <x v="24"/>
    <x v="22"/>
    <x v="3"/>
  </r>
  <r>
    <x v="109"/>
    <m/>
    <m/>
    <m/>
    <m/>
    <x v="3"/>
    <m/>
    <x v="24"/>
    <x v="22"/>
    <x v="3"/>
  </r>
  <r>
    <x v="110"/>
    <n v="1208.2568807339449"/>
    <n v="1837.7522935779816"/>
    <m/>
    <n v="629.49541284403665"/>
    <x v="3"/>
    <m/>
    <x v="24"/>
    <x v="23"/>
    <x v="3"/>
  </r>
  <r>
    <x v="111"/>
    <n v="3750"/>
    <n v="6143"/>
    <m/>
    <m/>
    <x v="3"/>
    <m/>
    <x v="24"/>
    <x v="22"/>
    <x v="3"/>
  </r>
  <r>
    <x v="112"/>
    <n v="38"/>
    <n v="80"/>
    <m/>
    <m/>
    <x v="3"/>
    <m/>
    <x v="24"/>
    <x v="22"/>
    <x v="3"/>
  </r>
  <r>
    <x v="109"/>
    <m/>
    <m/>
    <m/>
    <m/>
    <x v="3"/>
    <m/>
    <x v="24"/>
    <x v="2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10">
    <pivotField showAll="0"/>
    <pivotField showAll="0"/>
    <pivotField showAll="0"/>
    <pivotField dataField="1" showAll="0"/>
    <pivotField showAll="0"/>
    <pivotField axis="axisRow" showAll="0">
      <items count="5">
        <item x="1"/>
        <item x="2"/>
        <item x="0"/>
        <item h="1" x="3"/>
        <item t="default"/>
      </items>
    </pivotField>
    <pivotField showAll="0"/>
    <pivotField showAll="0"/>
    <pivotField dataField="1" showAll="0"/>
    <pivotField showAll="0"/>
  </pivotFields>
  <rowFields count="1">
    <field x="5"/>
  </rowFields>
  <rowItems count="4">
    <i>
      <x/>
    </i>
    <i>
      <x v="1"/>
    </i>
    <i>
      <x v="2"/>
    </i>
    <i t="grand">
      <x/>
    </i>
  </rowItems>
  <colFields count="1">
    <field x="-2"/>
  </colFields>
  <colItems count="2">
    <i>
      <x/>
    </i>
    <i i="1">
      <x v="1"/>
    </i>
  </colItems>
  <dataFields count="2">
    <dataField name="Average of Rating" fld="8" subtotal="average" baseField="5" baseItem="0" numFmtId="164"/>
    <dataField name="Average of Discount" fld="3" subtotal="average" baseField="5" baseItem="0" numFmtId="9"/>
  </dataFields>
  <chartFormats count="2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1"/>
          </reference>
          <reference field="5" count="1" selected="0">
            <x v="2"/>
          </reference>
        </references>
      </pivotArea>
    </chartFormat>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5" count="1" selected="0">
            <x v="0"/>
          </reference>
        </references>
      </pivotArea>
    </chartFormat>
    <chartFormat chart="1" format="11">
      <pivotArea type="data" outline="0" fieldPosition="0">
        <references count="2">
          <reference field="4294967294" count="1" selected="0">
            <x v="0"/>
          </reference>
          <reference field="5" count="1" selected="0">
            <x v="1"/>
          </reference>
        </references>
      </pivotArea>
    </chartFormat>
    <chartFormat chart="1" format="12">
      <pivotArea type="data" outline="0" fieldPosition="0">
        <references count="2">
          <reference field="4294967294" count="1" selected="0">
            <x v="0"/>
          </reference>
          <reference field="5" count="1" selected="0">
            <x v="2"/>
          </reference>
        </references>
      </pivotArea>
    </chartFormat>
    <chartFormat chart="1" format="13" series="1">
      <pivotArea type="data" outline="0" fieldPosition="0">
        <references count="1">
          <reference field="4294967294" count="1" selected="0">
            <x v="1"/>
          </reference>
        </references>
      </pivotArea>
    </chartFormat>
    <chartFormat chart="1" format="14">
      <pivotArea type="data" outline="0" fieldPosition="0">
        <references count="2">
          <reference field="4294967294" count="1" selected="0">
            <x v="1"/>
          </reference>
          <reference field="5" count="1" selected="0">
            <x v="0"/>
          </reference>
        </references>
      </pivotArea>
    </chartFormat>
    <chartFormat chart="1" format="15">
      <pivotArea type="data" outline="0" fieldPosition="0">
        <references count="2">
          <reference field="4294967294" count="1" selected="0">
            <x v="1"/>
          </reference>
          <reference field="5" count="1" selected="0">
            <x v="1"/>
          </reference>
        </references>
      </pivotArea>
    </chartFormat>
    <chartFormat chart="1" format="16">
      <pivotArea type="data" outline="0" fieldPosition="0">
        <references count="2">
          <reference field="4294967294" count="1" selected="0">
            <x v="1"/>
          </reference>
          <reference field="5" count="1" selected="0">
            <x v="2"/>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5" count="1" selected="0">
            <x v="0"/>
          </reference>
        </references>
      </pivotArea>
    </chartFormat>
    <chartFormat chart="2" format="19">
      <pivotArea type="data" outline="0" fieldPosition="0">
        <references count="2">
          <reference field="4294967294" count="1" selected="0">
            <x v="0"/>
          </reference>
          <reference field="5" count="1" selected="0">
            <x v="1"/>
          </reference>
        </references>
      </pivotArea>
    </chartFormat>
    <chartFormat chart="2" format="20">
      <pivotArea type="data" outline="0" fieldPosition="0">
        <references count="2">
          <reference field="4294967294" count="1" selected="0">
            <x v="0"/>
          </reference>
          <reference field="5" count="1" selected="0">
            <x v="2"/>
          </reference>
        </references>
      </pivotArea>
    </chartFormat>
    <chartFormat chart="2" format="21" series="1">
      <pivotArea type="data" outline="0" fieldPosition="0">
        <references count="1">
          <reference field="4294967294" count="1" selected="0">
            <x v="1"/>
          </reference>
        </references>
      </pivotArea>
    </chartFormat>
    <chartFormat chart="2" format="22">
      <pivotArea type="data" outline="0" fieldPosition="0">
        <references count="2">
          <reference field="4294967294" count="1" selected="0">
            <x v="1"/>
          </reference>
          <reference field="5" count="1" selected="0">
            <x v="0"/>
          </reference>
        </references>
      </pivotArea>
    </chartFormat>
    <chartFormat chart="2" format="23">
      <pivotArea type="data" outline="0" fieldPosition="0">
        <references count="2">
          <reference field="4294967294" count="1" selected="0">
            <x v="1"/>
          </reference>
          <reference field="5" count="1" selected="0">
            <x v="1"/>
          </reference>
        </references>
      </pivotArea>
    </chartFormat>
    <chartFormat chart="2" format="24">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115" firstHeaderRow="1" firstDataRow="3" firstDataCol="1"/>
  <pivotFields count="10">
    <pivotField axis="axisRow"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showAll="0"/>
    <pivotField showAll="0"/>
    <pivotField showAll="0"/>
    <pivotField numFmtId="1" showAll="0"/>
    <pivotField numFmtId="1" showAll="0"/>
    <pivotField dataField="1" numFmtId="164" showAll="0"/>
    <pivotField axis="axisCol" showAll="0">
      <items count="4">
        <item x="1"/>
        <item x="0"/>
        <item x="2"/>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2">
    <field x="9"/>
    <field x="-2"/>
  </colFields>
  <colItems count="8">
    <i>
      <x/>
      <x/>
    </i>
    <i r="1" i="1">
      <x v="1"/>
    </i>
    <i>
      <x v="1"/>
      <x/>
    </i>
    <i r="1" i="1">
      <x v="1"/>
    </i>
    <i>
      <x v="2"/>
      <x/>
    </i>
    <i r="1" i="1">
      <x v="1"/>
    </i>
    <i t="grand">
      <x/>
    </i>
    <i t="grand" i="1">
      <x/>
    </i>
  </colItems>
  <dataFields count="2">
    <dataField name="Count of Product" fld="0" subtotal="count" baseField="0" baseItem="93"/>
    <dataField name="Sum of Rating" fld="8" baseField="0" baseItem="0"/>
  </dataFields>
  <chartFormats count="6">
    <chartFormat chart="0" format="0" series="1">
      <pivotArea type="data" outline="0" fieldPosition="0">
        <references count="2">
          <reference field="4294967294" count="1" selected="0">
            <x v="1"/>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1"/>
          </reference>
        </references>
      </pivotArea>
    </chartFormat>
    <chartFormat chart="0" format="2" series="1">
      <pivotArea type="data" outline="0" fieldPosition="0">
        <references count="2">
          <reference field="4294967294" count="1" selected="0">
            <x v="1"/>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2"/>
          </reference>
        </references>
      </pivotArea>
    </chartFormat>
    <chartFormat chart="0" format="4" series="1">
      <pivotArea type="data" outline="0" fieldPosition="0">
        <references count="2">
          <reference field="4294967294" count="1" selected="0">
            <x v="0"/>
          </reference>
          <reference field="9" count="1" selected="0">
            <x v="0"/>
          </reference>
        </references>
      </pivotArea>
    </chartFormat>
    <chartFormat chart="0"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B52" firstHeaderRow="1" firstDataRow="1" firstDataCol="1" rowPageCount="2" colPageCount="1"/>
  <pivotFields count="10">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numFmtId="1" showAll="0"/>
    <pivotField showAll="0">
      <items count="4">
        <item x="1"/>
        <item x="2"/>
        <item x="0"/>
        <item t="default"/>
      </items>
    </pivotField>
    <pivotField numFmtId="1" showAll="0"/>
    <pivotField dataField="1" numFmtId="1" showAll="0">
      <items count="25">
        <item x="14"/>
        <item x="18"/>
        <item x="0"/>
        <item x="11"/>
        <item x="4"/>
        <item x="9"/>
        <item x="3"/>
        <item x="10"/>
        <item x="20"/>
        <item x="7"/>
        <item x="13"/>
        <item x="1"/>
        <item x="5"/>
        <item x="22"/>
        <item x="23"/>
        <item x="16"/>
        <item x="2"/>
        <item x="17"/>
        <item x="19"/>
        <item x="8"/>
        <item x="12"/>
        <item x="15"/>
        <item x="6"/>
        <item x="21"/>
        <item t="default"/>
      </items>
    </pivotField>
    <pivotField axis="axisPage" numFmtId="164" showAll="0">
      <items count="23">
        <item x="21"/>
        <item x="14"/>
        <item x="18"/>
        <item x="19"/>
        <item x="12"/>
        <item x="20"/>
        <item x="16"/>
        <item x="15"/>
        <item x="17"/>
        <item x="13"/>
        <item x="9"/>
        <item x="6"/>
        <item x="5"/>
        <item x="1"/>
        <item x="7"/>
        <item x="11"/>
        <item x="10"/>
        <item x="0"/>
        <item x="2"/>
        <item x="3"/>
        <item x="4"/>
        <item x="8"/>
        <item t="default"/>
      </items>
    </pivotField>
    <pivotField axis="axisPage" showAll="0">
      <items count="4">
        <item x="1"/>
        <item x="0"/>
        <item x="2"/>
        <item t="default"/>
      </items>
    </pivotField>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pageFields count="2">
    <pageField fld="8" hier="-1"/>
    <pageField fld="9" hier="-1"/>
  </pageFields>
  <dataFields count="1">
    <dataField name="Sum of Review 2" fld="7"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16:E120" firstHeaderRow="1" firstDataRow="1" firstDataCol="1"/>
  <pivotFields count="10">
    <pivotField showAll="0"/>
    <pivotField showAll="0"/>
    <pivotField showAll="0"/>
    <pivotField showAll="0"/>
    <pivotField showAll="0"/>
    <pivotField axis="axisRow" showAll="0">
      <items count="5">
        <item x="1"/>
        <item x="2"/>
        <item x="0"/>
        <item h="1" x="3"/>
        <item t="default"/>
      </items>
    </pivotField>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pivotField showAll="0">
      <items count="5">
        <item x="1"/>
        <item x="0"/>
        <item x="2"/>
        <item x="3"/>
        <item t="default"/>
      </items>
    </pivotField>
  </pivotFields>
  <rowFields count="1">
    <field x="5"/>
  </rowFields>
  <rowItems count="4">
    <i>
      <x/>
    </i>
    <i>
      <x v="1"/>
    </i>
    <i>
      <x v="2"/>
    </i>
    <i t="grand">
      <x/>
    </i>
  </rowItems>
  <colItems count="1">
    <i/>
  </colItems>
  <dataFields count="1">
    <dataField name="Sum of Review 2" fld="7"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88:D103" firstHeaderRow="0" firstDataRow="1" firstDataCol="1"/>
  <pivotFields count="10">
    <pivotField showAll="0"/>
    <pivotField showAll="0"/>
    <pivotField showAll="0"/>
    <pivotField dataField="1" showAll="0"/>
    <pivotField showAll="0"/>
    <pivotField axis="axisRow" showAll="0">
      <items count="5">
        <item x="1"/>
        <item x="2"/>
        <item x="0"/>
        <item x="3"/>
        <item t="default"/>
      </items>
    </pivotField>
    <pivotField showAll="0"/>
    <pivotField dataField="1" showAll="0"/>
    <pivotField showAll="0"/>
    <pivotField axis="axisRow" showAll="0">
      <items count="5">
        <item x="1"/>
        <item x="0"/>
        <item x="2"/>
        <item x="3"/>
        <item t="default"/>
      </items>
    </pivotField>
  </pivotFields>
  <rowFields count="2">
    <field x="5"/>
    <field x="9"/>
  </rowFields>
  <rowItems count="15">
    <i>
      <x/>
    </i>
    <i r="1">
      <x/>
    </i>
    <i r="1">
      <x v="1"/>
    </i>
    <i r="1">
      <x v="2"/>
    </i>
    <i>
      <x v="1"/>
    </i>
    <i r="1">
      <x/>
    </i>
    <i r="1">
      <x v="1"/>
    </i>
    <i r="1">
      <x v="2"/>
    </i>
    <i>
      <x v="2"/>
    </i>
    <i r="1">
      <x/>
    </i>
    <i r="1">
      <x v="1"/>
    </i>
    <i r="1">
      <x v="2"/>
    </i>
    <i>
      <x v="3"/>
    </i>
    <i r="1">
      <x v="3"/>
    </i>
    <i t="grand">
      <x/>
    </i>
  </rowItems>
  <colFields count="1">
    <field x="-2"/>
  </colFields>
  <colItems count="2">
    <i>
      <x/>
    </i>
    <i i="1">
      <x v="1"/>
    </i>
  </colItems>
  <dataFields count="2">
    <dataField name="Count of Discount" fld="3" subtotal="count" baseField="5" baseItem="2"/>
    <dataField name="Count of Review 2" fld="7" subtotal="count" baseField="5" baseItem="2"/>
  </dataFields>
  <chartFormats count="2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3">
          <reference field="4294967294" count="1" selected="0">
            <x v="0"/>
          </reference>
          <reference field="5" count="1" selected="0">
            <x v="0"/>
          </reference>
          <reference field="9" count="1" selected="0">
            <x v="0"/>
          </reference>
        </references>
      </pivotArea>
    </chartFormat>
    <chartFormat chart="0" format="5">
      <pivotArea type="data" outline="0" fieldPosition="0">
        <references count="3">
          <reference field="4294967294" count="1" selected="0">
            <x v="0"/>
          </reference>
          <reference field="5" count="1" selected="0">
            <x v="0"/>
          </reference>
          <reference field="9" count="1" selected="0">
            <x v="1"/>
          </reference>
        </references>
      </pivotArea>
    </chartFormat>
    <chartFormat chart="0" format="6">
      <pivotArea type="data" outline="0" fieldPosition="0">
        <references count="3">
          <reference field="4294967294" count="1" selected="0">
            <x v="0"/>
          </reference>
          <reference field="5" count="1" selected="0">
            <x v="0"/>
          </reference>
          <reference field="9" count="1" selected="0">
            <x v="2"/>
          </reference>
        </references>
      </pivotArea>
    </chartFormat>
    <chartFormat chart="0" format="7">
      <pivotArea type="data" outline="0" fieldPosition="0">
        <references count="3">
          <reference field="4294967294" count="1" selected="0">
            <x v="0"/>
          </reference>
          <reference field="5" count="1" selected="0">
            <x v="1"/>
          </reference>
          <reference field="9" count="1" selected="0">
            <x v="0"/>
          </reference>
        </references>
      </pivotArea>
    </chartFormat>
    <chartFormat chart="0" format="8">
      <pivotArea type="data" outline="0" fieldPosition="0">
        <references count="3">
          <reference field="4294967294" count="1" selected="0">
            <x v="0"/>
          </reference>
          <reference field="5" count="1" selected="0">
            <x v="1"/>
          </reference>
          <reference field="9" count="1" selected="0">
            <x v="1"/>
          </reference>
        </references>
      </pivotArea>
    </chartFormat>
    <chartFormat chart="0" format="9">
      <pivotArea type="data" outline="0" fieldPosition="0">
        <references count="3">
          <reference field="4294967294" count="1" selected="0">
            <x v="0"/>
          </reference>
          <reference field="5" count="1" selected="0">
            <x v="1"/>
          </reference>
          <reference field="9" count="1" selected="0">
            <x v="2"/>
          </reference>
        </references>
      </pivotArea>
    </chartFormat>
    <chartFormat chart="0" format="10">
      <pivotArea type="data" outline="0" fieldPosition="0">
        <references count="3">
          <reference field="4294967294" count="1" selected="0">
            <x v="0"/>
          </reference>
          <reference field="5" count="1" selected="0">
            <x v="2"/>
          </reference>
          <reference field="9" count="1" selected="0">
            <x v="0"/>
          </reference>
        </references>
      </pivotArea>
    </chartFormat>
    <chartFormat chart="0" format="11">
      <pivotArea type="data" outline="0" fieldPosition="0">
        <references count="3">
          <reference field="4294967294" count="1" selected="0">
            <x v="0"/>
          </reference>
          <reference field="5" count="1" selected="0">
            <x v="2"/>
          </reference>
          <reference field="9" count="1" selected="0">
            <x v="1"/>
          </reference>
        </references>
      </pivotArea>
    </chartFormat>
    <chartFormat chart="0" format="12">
      <pivotArea type="data" outline="0" fieldPosition="0">
        <references count="3">
          <reference field="4294967294" count="1" selected="0">
            <x v="0"/>
          </reference>
          <reference field="5" count="1" selected="0">
            <x v="2"/>
          </reference>
          <reference field="9" count="1" selected="0">
            <x v="2"/>
          </reference>
        </references>
      </pivotArea>
    </chartFormat>
    <chartFormat chart="0" format="13">
      <pivotArea type="data" outline="0" fieldPosition="0">
        <references count="3">
          <reference field="4294967294" count="1" selected="0">
            <x v="0"/>
          </reference>
          <reference field="5" count="1" selected="0">
            <x v="3"/>
          </reference>
          <reference field="9" count="1" selected="0">
            <x v="3"/>
          </reference>
        </references>
      </pivotArea>
    </chartFormat>
    <chartFormat chart="0" format="14">
      <pivotArea type="data" outline="0" fieldPosition="0">
        <references count="3">
          <reference field="4294967294" count="1" selected="0">
            <x v="1"/>
          </reference>
          <reference field="5" count="1" selected="0">
            <x v="0"/>
          </reference>
          <reference field="9" count="1" selected="0">
            <x v="0"/>
          </reference>
        </references>
      </pivotArea>
    </chartFormat>
    <chartFormat chart="0" format="15">
      <pivotArea type="data" outline="0" fieldPosition="0">
        <references count="3">
          <reference field="4294967294" count="1" selected="0">
            <x v="1"/>
          </reference>
          <reference field="5" count="1" selected="0">
            <x v="0"/>
          </reference>
          <reference field="9" count="1" selected="0">
            <x v="1"/>
          </reference>
        </references>
      </pivotArea>
    </chartFormat>
    <chartFormat chart="0" format="16">
      <pivotArea type="data" outline="0" fieldPosition="0">
        <references count="3">
          <reference field="4294967294" count="1" selected="0">
            <x v="1"/>
          </reference>
          <reference field="5" count="1" selected="0">
            <x v="0"/>
          </reference>
          <reference field="9" count="1" selected="0">
            <x v="2"/>
          </reference>
        </references>
      </pivotArea>
    </chartFormat>
    <chartFormat chart="0" format="17">
      <pivotArea type="data" outline="0" fieldPosition="0">
        <references count="3">
          <reference field="4294967294" count="1" selected="0">
            <x v="1"/>
          </reference>
          <reference field="5" count="1" selected="0">
            <x v="1"/>
          </reference>
          <reference field="9" count="1" selected="0">
            <x v="0"/>
          </reference>
        </references>
      </pivotArea>
    </chartFormat>
    <chartFormat chart="0" format="18">
      <pivotArea type="data" outline="0" fieldPosition="0">
        <references count="3">
          <reference field="4294967294" count="1" selected="0">
            <x v="1"/>
          </reference>
          <reference field="5" count="1" selected="0">
            <x v="1"/>
          </reference>
          <reference field="9" count="1" selected="0">
            <x v="1"/>
          </reference>
        </references>
      </pivotArea>
    </chartFormat>
    <chartFormat chart="0" format="19">
      <pivotArea type="data" outline="0" fieldPosition="0">
        <references count="3">
          <reference field="4294967294" count="1" selected="0">
            <x v="1"/>
          </reference>
          <reference field="5" count="1" selected="0">
            <x v="1"/>
          </reference>
          <reference field="9" count="1" selected="0">
            <x v="2"/>
          </reference>
        </references>
      </pivotArea>
    </chartFormat>
    <chartFormat chart="0" format="20">
      <pivotArea type="data" outline="0" fieldPosition="0">
        <references count="3">
          <reference field="4294967294" count="1" selected="0">
            <x v="1"/>
          </reference>
          <reference field="5" count="1" selected="0">
            <x v="2"/>
          </reference>
          <reference field="9" count="1" selected="0">
            <x v="0"/>
          </reference>
        </references>
      </pivotArea>
    </chartFormat>
    <chartFormat chart="0" format="21">
      <pivotArea type="data" outline="0" fieldPosition="0">
        <references count="3">
          <reference field="4294967294" count="1" selected="0">
            <x v="1"/>
          </reference>
          <reference field="5" count="1" selected="0">
            <x v="2"/>
          </reference>
          <reference field="9" count="1" selected="0">
            <x v="1"/>
          </reference>
        </references>
      </pivotArea>
    </chartFormat>
    <chartFormat chart="0" format="22">
      <pivotArea type="data" outline="0" fieldPosition="0">
        <references count="3">
          <reference field="4294967294" count="1" selected="0">
            <x v="1"/>
          </reference>
          <reference field="5" count="1" selected="0">
            <x v="2"/>
          </reference>
          <reference field="9" count="1" selected="0">
            <x v="2"/>
          </reference>
        </references>
      </pivotArea>
    </chartFormat>
    <chartFormat chart="0" format="23">
      <pivotArea type="data" outline="0" fieldPosition="0">
        <references count="3">
          <reference field="4294967294" count="1" selected="0">
            <x v="1"/>
          </reference>
          <reference field="5" count="1" selected="0">
            <x v="3"/>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0:C61" firstHeaderRow="0" firstDataRow="1" firstDataCol="0"/>
  <pivotFields count="10">
    <pivotField showAll="0">
      <items count="114">
        <item x="111"/>
        <item x="112"/>
        <item x="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showAll="0">
      <items count="5">
        <item x="1"/>
        <item x="2"/>
        <item x="0"/>
        <item x="3"/>
        <item t="default"/>
      </items>
    </pivotField>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pivotField showAll="0">
      <items count="5">
        <item x="1"/>
        <item x="0"/>
        <item x="2"/>
        <item x="3"/>
        <item t="default"/>
      </items>
    </pivotField>
  </pivotFields>
  <rowItems count="1">
    <i/>
  </rowItems>
  <colFields count="1">
    <field x="-2"/>
  </colFields>
  <colItems count="2">
    <i>
      <x/>
    </i>
    <i i="1">
      <x v="1"/>
    </i>
  </colItems>
  <dataFields count="2">
    <dataField name="Sum of Rating" fld="8" baseField="0" baseItem="1"/>
    <dataField name="Sum of Review 2" fld="7"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9:B383" firstHeaderRow="1" firstDataRow="1" firstDataCol="1" rowPageCount="1" colPageCount="1"/>
  <pivotFields count="10">
    <pivotField axis="axisRow" showAll="0">
      <items count="114">
        <item x="111"/>
        <item x="112"/>
        <item x="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showAll="0"/>
    <pivotField showAll="0"/>
    <pivotField axis="axisPage" showAll="0">
      <items count="5">
        <item x="1"/>
        <item x="2"/>
        <item x="0"/>
        <item x="3"/>
        <item t="default"/>
      </items>
    </pivotField>
    <pivotField showAll="0"/>
    <pivotField showAll="0"/>
    <pivotField showAll="0"/>
    <pivotField showAll="0"/>
  </pivotFields>
  <rowFields count="1">
    <field x="0"/>
  </rowFields>
  <rowItems count="1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t="grand">
      <x/>
    </i>
  </rowItems>
  <colItems count="1">
    <i/>
  </colItems>
  <pageFields count="1">
    <pageField fld="5" hier="-1"/>
  </pageFields>
  <dataFields count="1">
    <dataField name="Sum of Discount" fld="3" baseField="0" baseItem="3"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0:B260" firstHeaderRow="1" firstDataRow="1" firstDataCol="1" rowPageCount="1" colPageCount="1"/>
  <pivotFields count="10">
    <pivotField axis="axisRow" showAll="0">
      <items count="114">
        <item x="111"/>
        <item x="112"/>
        <item x="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showAll="0"/>
    <pivotField showAll="0"/>
    <pivotField showAll="0"/>
    <pivotField dataField="1" showAll="0"/>
    <pivotField axis="axisPage" multipleItemSelectionAllowed="1" showAll="0">
      <items count="5">
        <item x="1"/>
        <item x="0"/>
        <item x="2"/>
        <item h="1" x="3"/>
        <item t="default"/>
      </items>
    </pivotField>
  </pivotFields>
  <rowFields count="1">
    <field x="0"/>
  </rowFields>
  <rowItems count="110">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t="grand">
      <x/>
    </i>
  </rowItems>
  <colItems count="1">
    <i/>
  </colItems>
  <pageFields count="1">
    <pageField fld="9" hier="-1"/>
  </pageFields>
  <dataFields count="1">
    <dataField name="Sum of Rating" fld="8" baseField="0" baseItem="0"/>
  </dataFields>
  <chartFormats count="220">
    <chartFormat chart="0" format="4" series="1">
      <pivotArea type="data" outline="0" fieldPosition="0">
        <references count="1">
          <reference field="4294967294" count="1" selected="0">
            <x v="0"/>
          </reference>
        </references>
      </pivotArea>
    </chartFormat>
    <chartFormat chart="2" format="115" series="1">
      <pivotArea type="data" outline="0" fieldPosition="0">
        <references count="1">
          <reference field="4294967294" count="1" selected="0">
            <x v="0"/>
          </reference>
        </references>
      </pivotArea>
    </chartFormat>
    <chartFormat chart="2" format="116">
      <pivotArea type="data" outline="0" fieldPosition="0">
        <references count="2">
          <reference field="4294967294" count="1" selected="0">
            <x v="0"/>
          </reference>
          <reference field="0" count="1" selected="0">
            <x v="3"/>
          </reference>
        </references>
      </pivotArea>
    </chartFormat>
    <chartFormat chart="2" format="117">
      <pivotArea type="data" outline="0" fieldPosition="0">
        <references count="2">
          <reference field="4294967294" count="1" selected="0">
            <x v="0"/>
          </reference>
          <reference field="0" count="1" selected="0">
            <x v="4"/>
          </reference>
        </references>
      </pivotArea>
    </chartFormat>
    <chartFormat chart="2" format="118">
      <pivotArea type="data" outline="0" fieldPosition="0">
        <references count="2">
          <reference field="4294967294" count="1" selected="0">
            <x v="0"/>
          </reference>
          <reference field="0" count="1" selected="0">
            <x v="5"/>
          </reference>
        </references>
      </pivotArea>
    </chartFormat>
    <chartFormat chart="2" format="119">
      <pivotArea type="data" outline="0" fieldPosition="0">
        <references count="2">
          <reference field="4294967294" count="1" selected="0">
            <x v="0"/>
          </reference>
          <reference field="0" count="1" selected="0">
            <x v="6"/>
          </reference>
        </references>
      </pivotArea>
    </chartFormat>
    <chartFormat chart="2" format="120">
      <pivotArea type="data" outline="0" fieldPosition="0">
        <references count="2">
          <reference field="4294967294" count="1" selected="0">
            <x v="0"/>
          </reference>
          <reference field="0" count="1" selected="0">
            <x v="7"/>
          </reference>
        </references>
      </pivotArea>
    </chartFormat>
    <chartFormat chart="2" format="121">
      <pivotArea type="data" outline="0" fieldPosition="0">
        <references count="2">
          <reference field="4294967294" count="1" selected="0">
            <x v="0"/>
          </reference>
          <reference field="0" count="1" selected="0">
            <x v="8"/>
          </reference>
        </references>
      </pivotArea>
    </chartFormat>
    <chartFormat chart="2" format="122">
      <pivotArea type="data" outline="0" fieldPosition="0">
        <references count="2">
          <reference field="4294967294" count="1" selected="0">
            <x v="0"/>
          </reference>
          <reference field="0" count="1" selected="0">
            <x v="9"/>
          </reference>
        </references>
      </pivotArea>
    </chartFormat>
    <chartFormat chart="2" format="123">
      <pivotArea type="data" outline="0" fieldPosition="0">
        <references count="2">
          <reference field="4294967294" count="1" selected="0">
            <x v="0"/>
          </reference>
          <reference field="0" count="1" selected="0">
            <x v="10"/>
          </reference>
        </references>
      </pivotArea>
    </chartFormat>
    <chartFormat chart="2" format="124">
      <pivotArea type="data" outline="0" fieldPosition="0">
        <references count="2">
          <reference field="4294967294" count="1" selected="0">
            <x v="0"/>
          </reference>
          <reference field="0" count="1" selected="0">
            <x v="11"/>
          </reference>
        </references>
      </pivotArea>
    </chartFormat>
    <chartFormat chart="2" format="125">
      <pivotArea type="data" outline="0" fieldPosition="0">
        <references count="2">
          <reference field="4294967294" count="1" selected="0">
            <x v="0"/>
          </reference>
          <reference field="0" count="1" selected="0">
            <x v="12"/>
          </reference>
        </references>
      </pivotArea>
    </chartFormat>
    <chartFormat chart="2" format="126">
      <pivotArea type="data" outline="0" fieldPosition="0">
        <references count="2">
          <reference field="4294967294" count="1" selected="0">
            <x v="0"/>
          </reference>
          <reference field="0" count="1" selected="0">
            <x v="13"/>
          </reference>
        </references>
      </pivotArea>
    </chartFormat>
    <chartFormat chart="2" format="127">
      <pivotArea type="data" outline="0" fieldPosition="0">
        <references count="2">
          <reference field="4294967294" count="1" selected="0">
            <x v="0"/>
          </reference>
          <reference field="0" count="1" selected="0">
            <x v="14"/>
          </reference>
        </references>
      </pivotArea>
    </chartFormat>
    <chartFormat chart="2" format="128">
      <pivotArea type="data" outline="0" fieldPosition="0">
        <references count="2">
          <reference field="4294967294" count="1" selected="0">
            <x v="0"/>
          </reference>
          <reference field="0" count="1" selected="0">
            <x v="15"/>
          </reference>
        </references>
      </pivotArea>
    </chartFormat>
    <chartFormat chart="2" format="129">
      <pivotArea type="data" outline="0" fieldPosition="0">
        <references count="2">
          <reference field="4294967294" count="1" selected="0">
            <x v="0"/>
          </reference>
          <reference field="0" count="1" selected="0">
            <x v="16"/>
          </reference>
        </references>
      </pivotArea>
    </chartFormat>
    <chartFormat chart="2" format="130">
      <pivotArea type="data" outline="0" fieldPosition="0">
        <references count="2">
          <reference field="4294967294" count="1" selected="0">
            <x v="0"/>
          </reference>
          <reference field="0" count="1" selected="0">
            <x v="17"/>
          </reference>
        </references>
      </pivotArea>
    </chartFormat>
    <chartFormat chart="2" format="131">
      <pivotArea type="data" outline="0" fieldPosition="0">
        <references count="2">
          <reference field="4294967294" count="1" selected="0">
            <x v="0"/>
          </reference>
          <reference field="0" count="1" selected="0">
            <x v="18"/>
          </reference>
        </references>
      </pivotArea>
    </chartFormat>
    <chartFormat chart="2" format="132">
      <pivotArea type="data" outline="0" fieldPosition="0">
        <references count="2">
          <reference field="4294967294" count="1" selected="0">
            <x v="0"/>
          </reference>
          <reference field="0" count="1" selected="0">
            <x v="19"/>
          </reference>
        </references>
      </pivotArea>
    </chartFormat>
    <chartFormat chart="2" format="133">
      <pivotArea type="data" outline="0" fieldPosition="0">
        <references count="2">
          <reference field="4294967294" count="1" selected="0">
            <x v="0"/>
          </reference>
          <reference field="0" count="1" selected="0">
            <x v="20"/>
          </reference>
        </references>
      </pivotArea>
    </chartFormat>
    <chartFormat chart="2" format="134">
      <pivotArea type="data" outline="0" fieldPosition="0">
        <references count="2">
          <reference field="4294967294" count="1" selected="0">
            <x v="0"/>
          </reference>
          <reference field="0" count="1" selected="0">
            <x v="21"/>
          </reference>
        </references>
      </pivotArea>
    </chartFormat>
    <chartFormat chart="2" format="135">
      <pivotArea type="data" outline="0" fieldPosition="0">
        <references count="2">
          <reference field="4294967294" count="1" selected="0">
            <x v="0"/>
          </reference>
          <reference field="0" count="1" selected="0">
            <x v="22"/>
          </reference>
        </references>
      </pivotArea>
    </chartFormat>
    <chartFormat chart="2" format="136">
      <pivotArea type="data" outline="0" fieldPosition="0">
        <references count="2">
          <reference field="4294967294" count="1" selected="0">
            <x v="0"/>
          </reference>
          <reference field="0" count="1" selected="0">
            <x v="23"/>
          </reference>
        </references>
      </pivotArea>
    </chartFormat>
    <chartFormat chart="2" format="137">
      <pivotArea type="data" outline="0" fieldPosition="0">
        <references count="2">
          <reference field="4294967294" count="1" selected="0">
            <x v="0"/>
          </reference>
          <reference field="0" count="1" selected="0">
            <x v="24"/>
          </reference>
        </references>
      </pivotArea>
    </chartFormat>
    <chartFormat chart="2" format="138">
      <pivotArea type="data" outline="0" fieldPosition="0">
        <references count="2">
          <reference field="4294967294" count="1" selected="0">
            <x v="0"/>
          </reference>
          <reference field="0" count="1" selected="0">
            <x v="25"/>
          </reference>
        </references>
      </pivotArea>
    </chartFormat>
    <chartFormat chart="2" format="139">
      <pivotArea type="data" outline="0" fieldPosition="0">
        <references count="2">
          <reference field="4294967294" count="1" selected="0">
            <x v="0"/>
          </reference>
          <reference field="0" count="1" selected="0">
            <x v="26"/>
          </reference>
        </references>
      </pivotArea>
    </chartFormat>
    <chartFormat chart="2" format="140">
      <pivotArea type="data" outline="0" fieldPosition="0">
        <references count="2">
          <reference field="4294967294" count="1" selected="0">
            <x v="0"/>
          </reference>
          <reference field="0" count="1" selected="0">
            <x v="27"/>
          </reference>
        </references>
      </pivotArea>
    </chartFormat>
    <chartFormat chart="2" format="141">
      <pivotArea type="data" outline="0" fieldPosition="0">
        <references count="2">
          <reference field="4294967294" count="1" selected="0">
            <x v="0"/>
          </reference>
          <reference field="0" count="1" selected="0">
            <x v="28"/>
          </reference>
        </references>
      </pivotArea>
    </chartFormat>
    <chartFormat chart="2" format="142">
      <pivotArea type="data" outline="0" fieldPosition="0">
        <references count="2">
          <reference field="4294967294" count="1" selected="0">
            <x v="0"/>
          </reference>
          <reference field="0" count="1" selected="0">
            <x v="29"/>
          </reference>
        </references>
      </pivotArea>
    </chartFormat>
    <chartFormat chart="2" format="143">
      <pivotArea type="data" outline="0" fieldPosition="0">
        <references count="2">
          <reference field="4294967294" count="1" selected="0">
            <x v="0"/>
          </reference>
          <reference field="0" count="1" selected="0">
            <x v="30"/>
          </reference>
        </references>
      </pivotArea>
    </chartFormat>
    <chartFormat chart="2" format="144">
      <pivotArea type="data" outline="0" fieldPosition="0">
        <references count="2">
          <reference field="4294967294" count="1" selected="0">
            <x v="0"/>
          </reference>
          <reference field="0" count="1" selected="0">
            <x v="31"/>
          </reference>
        </references>
      </pivotArea>
    </chartFormat>
    <chartFormat chart="2" format="145">
      <pivotArea type="data" outline="0" fieldPosition="0">
        <references count="2">
          <reference field="4294967294" count="1" selected="0">
            <x v="0"/>
          </reference>
          <reference field="0" count="1" selected="0">
            <x v="32"/>
          </reference>
        </references>
      </pivotArea>
    </chartFormat>
    <chartFormat chart="2" format="146">
      <pivotArea type="data" outline="0" fieldPosition="0">
        <references count="2">
          <reference field="4294967294" count="1" selected="0">
            <x v="0"/>
          </reference>
          <reference field="0" count="1" selected="0">
            <x v="33"/>
          </reference>
        </references>
      </pivotArea>
    </chartFormat>
    <chartFormat chart="2" format="147">
      <pivotArea type="data" outline="0" fieldPosition="0">
        <references count="2">
          <reference field="4294967294" count="1" selected="0">
            <x v="0"/>
          </reference>
          <reference field="0" count="1" selected="0">
            <x v="34"/>
          </reference>
        </references>
      </pivotArea>
    </chartFormat>
    <chartFormat chart="2" format="148">
      <pivotArea type="data" outline="0" fieldPosition="0">
        <references count="2">
          <reference field="4294967294" count="1" selected="0">
            <x v="0"/>
          </reference>
          <reference field="0" count="1" selected="0">
            <x v="35"/>
          </reference>
        </references>
      </pivotArea>
    </chartFormat>
    <chartFormat chart="2" format="149">
      <pivotArea type="data" outline="0" fieldPosition="0">
        <references count="2">
          <reference field="4294967294" count="1" selected="0">
            <x v="0"/>
          </reference>
          <reference field="0" count="1" selected="0">
            <x v="36"/>
          </reference>
        </references>
      </pivotArea>
    </chartFormat>
    <chartFormat chart="2" format="150">
      <pivotArea type="data" outline="0" fieldPosition="0">
        <references count="2">
          <reference field="4294967294" count="1" selected="0">
            <x v="0"/>
          </reference>
          <reference field="0" count="1" selected="0">
            <x v="37"/>
          </reference>
        </references>
      </pivotArea>
    </chartFormat>
    <chartFormat chart="2" format="151">
      <pivotArea type="data" outline="0" fieldPosition="0">
        <references count="2">
          <reference field="4294967294" count="1" selected="0">
            <x v="0"/>
          </reference>
          <reference field="0" count="1" selected="0">
            <x v="38"/>
          </reference>
        </references>
      </pivotArea>
    </chartFormat>
    <chartFormat chart="2" format="152">
      <pivotArea type="data" outline="0" fieldPosition="0">
        <references count="2">
          <reference field="4294967294" count="1" selected="0">
            <x v="0"/>
          </reference>
          <reference field="0" count="1" selected="0">
            <x v="39"/>
          </reference>
        </references>
      </pivotArea>
    </chartFormat>
    <chartFormat chart="2" format="153">
      <pivotArea type="data" outline="0" fieldPosition="0">
        <references count="2">
          <reference field="4294967294" count="1" selected="0">
            <x v="0"/>
          </reference>
          <reference field="0" count="1" selected="0">
            <x v="40"/>
          </reference>
        </references>
      </pivotArea>
    </chartFormat>
    <chartFormat chart="2" format="154">
      <pivotArea type="data" outline="0" fieldPosition="0">
        <references count="2">
          <reference field="4294967294" count="1" selected="0">
            <x v="0"/>
          </reference>
          <reference field="0" count="1" selected="0">
            <x v="41"/>
          </reference>
        </references>
      </pivotArea>
    </chartFormat>
    <chartFormat chart="2" format="155">
      <pivotArea type="data" outline="0" fieldPosition="0">
        <references count="2">
          <reference field="4294967294" count="1" selected="0">
            <x v="0"/>
          </reference>
          <reference field="0" count="1" selected="0">
            <x v="42"/>
          </reference>
        </references>
      </pivotArea>
    </chartFormat>
    <chartFormat chart="2" format="156">
      <pivotArea type="data" outline="0" fieldPosition="0">
        <references count="2">
          <reference field="4294967294" count="1" selected="0">
            <x v="0"/>
          </reference>
          <reference field="0" count="1" selected="0">
            <x v="43"/>
          </reference>
        </references>
      </pivotArea>
    </chartFormat>
    <chartFormat chart="2" format="157">
      <pivotArea type="data" outline="0" fieldPosition="0">
        <references count="2">
          <reference field="4294967294" count="1" selected="0">
            <x v="0"/>
          </reference>
          <reference field="0" count="1" selected="0">
            <x v="44"/>
          </reference>
        </references>
      </pivotArea>
    </chartFormat>
    <chartFormat chart="2" format="158">
      <pivotArea type="data" outline="0" fieldPosition="0">
        <references count="2">
          <reference field="4294967294" count="1" selected="0">
            <x v="0"/>
          </reference>
          <reference field="0" count="1" selected="0">
            <x v="45"/>
          </reference>
        </references>
      </pivotArea>
    </chartFormat>
    <chartFormat chart="2" format="159">
      <pivotArea type="data" outline="0" fieldPosition="0">
        <references count="2">
          <reference field="4294967294" count="1" selected="0">
            <x v="0"/>
          </reference>
          <reference field="0" count="1" selected="0">
            <x v="46"/>
          </reference>
        </references>
      </pivotArea>
    </chartFormat>
    <chartFormat chart="2" format="160">
      <pivotArea type="data" outline="0" fieldPosition="0">
        <references count="2">
          <reference field="4294967294" count="1" selected="0">
            <x v="0"/>
          </reference>
          <reference field="0" count="1" selected="0">
            <x v="47"/>
          </reference>
        </references>
      </pivotArea>
    </chartFormat>
    <chartFormat chart="2" format="161">
      <pivotArea type="data" outline="0" fieldPosition="0">
        <references count="2">
          <reference field="4294967294" count="1" selected="0">
            <x v="0"/>
          </reference>
          <reference field="0" count="1" selected="0">
            <x v="48"/>
          </reference>
        </references>
      </pivotArea>
    </chartFormat>
    <chartFormat chart="2" format="162">
      <pivotArea type="data" outline="0" fieldPosition="0">
        <references count="2">
          <reference field="4294967294" count="1" selected="0">
            <x v="0"/>
          </reference>
          <reference field="0" count="1" selected="0">
            <x v="49"/>
          </reference>
        </references>
      </pivotArea>
    </chartFormat>
    <chartFormat chart="2" format="163">
      <pivotArea type="data" outline="0" fieldPosition="0">
        <references count="2">
          <reference field="4294967294" count="1" selected="0">
            <x v="0"/>
          </reference>
          <reference field="0" count="1" selected="0">
            <x v="50"/>
          </reference>
        </references>
      </pivotArea>
    </chartFormat>
    <chartFormat chart="2" format="164">
      <pivotArea type="data" outline="0" fieldPosition="0">
        <references count="2">
          <reference field="4294967294" count="1" selected="0">
            <x v="0"/>
          </reference>
          <reference field="0" count="1" selected="0">
            <x v="51"/>
          </reference>
        </references>
      </pivotArea>
    </chartFormat>
    <chartFormat chart="2" format="165">
      <pivotArea type="data" outline="0" fieldPosition="0">
        <references count="2">
          <reference field="4294967294" count="1" selected="0">
            <x v="0"/>
          </reference>
          <reference field="0" count="1" selected="0">
            <x v="52"/>
          </reference>
        </references>
      </pivotArea>
    </chartFormat>
    <chartFormat chart="2" format="166">
      <pivotArea type="data" outline="0" fieldPosition="0">
        <references count="2">
          <reference field="4294967294" count="1" selected="0">
            <x v="0"/>
          </reference>
          <reference field="0" count="1" selected="0">
            <x v="53"/>
          </reference>
        </references>
      </pivotArea>
    </chartFormat>
    <chartFormat chart="2" format="167">
      <pivotArea type="data" outline="0" fieldPosition="0">
        <references count="2">
          <reference field="4294967294" count="1" selected="0">
            <x v="0"/>
          </reference>
          <reference field="0" count="1" selected="0">
            <x v="54"/>
          </reference>
        </references>
      </pivotArea>
    </chartFormat>
    <chartFormat chart="2" format="168">
      <pivotArea type="data" outline="0" fieldPosition="0">
        <references count="2">
          <reference field="4294967294" count="1" selected="0">
            <x v="0"/>
          </reference>
          <reference field="0" count="1" selected="0">
            <x v="55"/>
          </reference>
        </references>
      </pivotArea>
    </chartFormat>
    <chartFormat chart="2" format="169">
      <pivotArea type="data" outline="0" fieldPosition="0">
        <references count="2">
          <reference field="4294967294" count="1" selected="0">
            <x v="0"/>
          </reference>
          <reference field="0" count="1" selected="0">
            <x v="56"/>
          </reference>
        </references>
      </pivotArea>
    </chartFormat>
    <chartFormat chart="2" format="170">
      <pivotArea type="data" outline="0" fieldPosition="0">
        <references count="2">
          <reference field="4294967294" count="1" selected="0">
            <x v="0"/>
          </reference>
          <reference field="0" count="1" selected="0">
            <x v="57"/>
          </reference>
        </references>
      </pivotArea>
    </chartFormat>
    <chartFormat chart="2" format="171">
      <pivotArea type="data" outline="0" fieldPosition="0">
        <references count="2">
          <reference field="4294967294" count="1" selected="0">
            <x v="0"/>
          </reference>
          <reference field="0" count="1" selected="0">
            <x v="58"/>
          </reference>
        </references>
      </pivotArea>
    </chartFormat>
    <chartFormat chart="2" format="172">
      <pivotArea type="data" outline="0" fieldPosition="0">
        <references count="2">
          <reference field="4294967294" count="1" selected="0">
            <x v="0"/>
          </reference>
          <reference field="0" count="1" selected="0">
            <x v="59"/>
          </reference>
        </references>
      </pivotArea>
    </chartFormat>
    <chartFormat chart="2" format="173">
      <pivotArea type="data" outline="0" fieldPosition="0">
        <references count="2">
          <reference field="4294967294" count="1" selected="0">
            <x v="0"/>
          </reference>
          <reference field="0" count="1" selected="0">
            <x v="60"/>
          </reference>
        </references>
      </pivotArea>
    </chartFormat>
    <chartFormat chart="2" format="174">
      <pivotArea type="data" outline="0" fieldPosition="0">
        <references count="2">
          <reference field="4294967294" count="1" selected="0">
            <x v="0"/>
          </reference>
          <reference field="0" count="1" selected="0">
            <x v="61"/>
          </reference>
        </references>
      </pivotArea>
    </chartFormat>
    <chartFormat chart="2" format="175">
      <pivotArea type="data" outline="0" fieldPosition="0">
        <references count="2">
          <reference field="4294967294" count="1" selected="0">
            <x v="0"/>
          </reference>
          <reference field="0" count="1" selected="0">
            <x v="62"/>
          </reference>
        </references>
      </pivotArea>
    </chartFormat>
    <chartFormat chart="2" format="176">
      <pivotArea type="data" outline="0" fieldPosition="0">
        <references count="2">
          <reference field="4294967294" count="1" selected="0">
            <x v="0"/>
          </reference>
          <reference field="0" count="1" selected="0">
            <x v="63"/>
          </reference>
        </references>
      </pivotArea>
    </chartFormat>
    <chartFormat chart="2" format="177">
      <pivotArea type="data" outline="0" fieldPosition="0">
        <references count="2">
          <reference field="4294967294" count="1" selected="0">
            <x v="0"/>
          </reference>
          <reference field="0" count="1" selected="0">
            <x v="64"/>
          </reference>
        </references>
      </pivotArea>
    </chartFormat>
    <chartFormat chart="2" format="178">
      <pivotArea type="data" outline="0" fieldPosition="0">
        <references count="2">
          <reference field="4294967294" count="1" selected="0">
            <x v="0"/>
          </reference>
          <reference field="0" count="1" selected="0">
            <x v="65"/>
          </reference>
        </references>
      </pivotArea>
    </chartFormat>
    <chartFormat chart="2" format="179">
      <pivotArea type="data" outline="0" fieldPosition="0">
        <references count="2">
          <reference field="4294967294" count="1" selected="0">
            <x v="0"/>
          </reference>
          <reference field="0" count="1" selected="0">
            <x v="66"/>
          </reference>
        </references>
      </pivotArea>
    </chartFormat>
    <chartFormat chart="2" format="180">
      <pivotArea type="data" outline="0" fieldPosition="0">
        <references count="2">
          <reference field="4294967294" count="1" selected="0">
            <x v="0"/>
          </reference>
          <reference field="0" count="1" selected="0">
            <x v="67"/>
          </reference>
        </references>
      </pivotArea>
    </chartFormat>
    <chartFormat chart="2" format="181">
      <pivotArea type="data" outline="0" fieldPosition="0">
        <references count="2">
          <reference field="4294967294" count="1" selected="0">
            <x v="0"/>
          </reference>
          <reference field="0" count="1" selected="0">
            <x v="68"/>
          </reference>
        </references>
      </pivotArea>
    </chartFormat>
    <chartFormat chart="2" format="182">
      <pivotArea type="data" outline="0" fieldPosition="0">
        <references count="2">
          <reference field="4294967294" count="1" selected="0">
            <x v="0"/>
          </reference>
          <reference field="0" count="1" selected="0">
            <x v="69"/>
          </reference>
        </references>
      </pivotArea>
    </chartFormat>
    <chartFormat chart="2" format="183">
      <pivotArea type="data" outline="0" fieldPosition="0">
        <references count="2">
          <reference field="4294967294" count="1" selected="0">
            <x v="0"/>
          </reference>
          <reference field="0" count="1" selected="0">
            <x v="70"/>
          </reference>
        </references>
      </pivotArea>
    </chartFormat>
    <chartFormat chart="2" format="184">
      <pivotArea type="data" outline="0" fieldPosition="0">
        <references count="2">
          <reference field="4294967294" count="1" selected="0">
            <x v="0"/>
          </reference>
          <reference field="0" count="1" selected="0">
            <x v="71"/>
          </reference>
        </references>
      </pivotArea>
    </chartFormat>
    <chartFormat chart="2" format="185">
      <pivotArea type="data" outline="0" fieldPosition="0">
        <references count="2">
          <reference field="4294967294" count="1" selected="0">
            <x v="0"/>
          </reference>
          <reference field="0" count="1" selected="0">
            <x v="72"/>
          </reference>
        </references>
      </pivotArea>
    </chartFormat>
    <chartFormat chart="2" format="186">
      <pivotArea type="data" outline="0" fieldPosition="0">
        <references count="2">
          <reference field="4294967294" count="1" selected="0">
            <x v="0"/>
          </reference>
          <reference field="0" count="1" selected="0">
            <x v="73"/>
          </reference>
        </references>
      </pivotArea>
    </chartFormat>
    <chartFormat chart="2" format="187">
      <pivotArea type="data" outline="0" fieldPosition="0">
        <references count="2">
          <reference field="4294967294" count="1" selected="0">
            <x v="0"/>
          </reference>
          <reference field="0" count="1" selected="0">
            <x v="74"/>
          </reference>
        </references>
      </pivotArea>
    </chartFormat>
    <chartFormat chart="2" format="188">
      <pivotArea type="data" outline="0" fieldPosition="0">
        <references count="2">
          <reference field="4294967294" count="1" selected="0">
            <x v="0"/>
          </reference>
          <reference field="0" count="1" selected="0">
            <x v="75"/>
          </reference>
        </references>
      </pivotArea>
    </chartFormat>
    <chartFormat chart="2" format="189">
      <pivotArea type="data" outline="0" fieldPosition="0">
        <references count="2">
          <reference field="4294967294" count="1" selected="0">
            <x v="0"/>
          </reference>
          <reference field="0" count="1" selected="0">
            <x v="76"/>
          </reference>
        </references>
      </pivotArea>
    </chartFormat>
    <chartFormat chart="2" format="190">
      <pivotArea type="data" outline="0" fieldPosition="0">
        <references count="2">
          <reference field="4294967294" count="1" selected="0">
            <x v="0"/>
          </reference>
          <reference field="0" count="1" selected="0">
            <x v="77"/>
          </reference>
        </references>
      </pivotArea>
    </chartFormat>
    <chartFormat chart="2" format="191">
      <pivotArea type="data" outline="0" fieldPosition="0">
        <references count="2">
          <reference field="4294967294" count="1" selected="0">
            <x v="0"/>
          </reference>
          <reference field="0" count="1" selected="0">
            <x v="78"/>
          </reference>
        </references>
      </pivotArea>
    </chartFormat>
    <chartFormat chart="2" format="192">
      <pivotArea type="data" outline="0" fieldPosition="0">
        <references count="2">
          <reference field="4294967294" count="1" selected="0">
            <x v="0"/>
          </reference>
          <reference field="0" count="1" selected="0">
            <x v="79"/>
          </reference>
        </references>
      </pivotArea>
    </chartFormat>
    <chartFormat chart="2" format="193">
      <pivotArea type="data" outline="0" fieldPosition="0">
        <references count="2">
          <reference field="4294967294" count="1" selected="0">
            <x v="0"/>
          </reference>
          <reference field="0" count="1" selected="0">
            <x v="80"/>
          </reference>
        </references>
      </pivotArea>
    </chartFormat>
    <chartFormat chart="2" format="194">
      <pivotArea type="data" outline="0" fieldPosition="0">
        <references count="2">
          <reference field="4294967294" count="1" selected="0">
            <x v="0"/>
          </reference>
          <reference field="0" count="1" selected="0">
            <x v="81"/>
          </reference>
        </references>
      </pivotArea>
    </chartFormat>
    <chartFormat chart="2" format="195">
      <pivotArea type="data" outline="0" fieldPosition="0">
        <references count="2">
          <reference field="4294967294" count="1" selected="0">
            <x v="0"/>
          </reference>
          <reference field="0" count="1" selected="0">
            <x v="82"/>
          </reference>
        </references>
      </pivotArea>
    </chartFormat>
    <chartFormat chart="2" format="196">
      <pivotArea type="data" outline="0" fieldPosition="0">
        <references count="2">
          <reference field="4294967294" count="1" selected="0">
            <x v="0"/>
          </reference>
          <reference field="0" count="1" selected="0">
            <x v="83"/>
          </reference>
        </references>
      </pivotArea>
    </chartFormat>
    <chartFormat chart="2" format="197">
      <pivotArea type="data" outline="0" fieldPosition="0">
        <references count="2">
          <reference field="4294967294" count="1" selected="0">
            <x v="0"/>
          </reference>
          <reference field="0" count="1" selected="0">
            <x v="84"/>
          </reference>
        </references>
      </pivotArea>
    </chartFormat>
    <chartFormat chart="2" format="198">
      <pivotArea type="data" outline="0" fieldPosition="0">
        <references count="2">
          <reference field="4294967294" count="1" selected="0">
            <x v="0"/>
          </reference>
          <reference field="0" count="1" selected="0">
            <x v="85"/>
          </reference>
        </references>
      </pivotArea>
    </chartFormat>
    <chartFormat chart="2" format="199">
      <pivotArea type="data" outline="0" fieldPosition="0">
        <references count="2">
          <reference field="4294967294" count="1" selected="0">
            <x v="0"/>
          </reference>
          <reference field="0" count="1" selected="0">
            <x v="86"/>
          </reference>
        </references>
      </pivotArea>
    </chartFormat>
    <chartFormat chart="2" format="200">
      <pivotArea type="data" outline="0" fieldPosition="0">
        <references count="2">
          <reference field="4294967294" count="1" selected="0">
            <x v="0"/>
          </reference>
          <reference field="0" count="1" selected="0">
            <x v="87"/>
          </reference>
        </references>
      </pivotArea>
    </chartFormat>
    <chartFormat chart="2" format="201">
      <pivotArea type="data" outline="0" fieldPosition="0">
        <references count="2">
          <reference field="4294967294" count="1" selected="0">
            <x v="0"/>
          </reference>
          <reference field="0" count="1" selected="0">
            <x v="88"/>
          </reference>
        </references>
      </pivotArea>
    </chartFormat>
    <chartFormat chart="2" format="202">
      <pivotArea type="data" outline="0" fieldPosition="0">
        <references count="2">
          <reference field="4294967294" count="1" selected="0">
            <x v="0"/>
          </reference>
          <reference field="0" count="1" selected="0">
            <x v="89"/>
          </reference>
        </references>
      </pivotArea>
    </chartFormat>
    <chartFormat chart="2" format="203">
      <pivotArea type="data" outline="0" fieldPosition="0">
        <references count="2">
          <reference field="4294967294" count="1" selected="0">
            <x v="0"/>
          </reference>
          <reference field="0" count="1" selected="0">
            <x v="90"/>
          </reference>
        </references>
      </pivotArea>
    </chartFormat>
    <chartFormat chart="2" format="204">
      <pivotArea type="data" outline="0" fieldPosition="0">
        <references count="2">
          <reference field="4294967294" count="1" selected="0">
            <x v="0"/>
          </reference>
          <reference field="0" count="1" selected="0">
            <x v="91"/>
          </reference>
        </references>
      </pivotArea>
    </chartFormat>
    <chartFormat chart="2" format="205">
      <pivotArea type="data" outline="0" fieldPosition="0">
        <references count="2">
          <reference field="4294967294" count="1" selected="0">
            <x v="0"/>
          </reference>
          <reference field="0" count="1" selected="0">
            <x v="92"/>
          </reference>
        </references>
      </pivotArea>
    </chartFormat>
    <chartFormat chart="2" format="206">
      <pivotArea type="data" outline="0" fieldPosition="0">
        <references count="2">
          <reference field="4294967294" count="1" selected="0">
            <x v="0"/>
          </reference>
          <reference field="0" count="1" selected="0">
            <x v="93"/>
          </reference>
        </references>
      </pivotArea>
    </chartFormat>
    <chartFormat chart="2" format="207">
      <pivotArea type="data" outline="0" fieldPosition="0">
        <references count="2">
          <reference field="4294967294" count="1" selected="0">
            <x v="0"/>
          </reference>
          <reference field="0" count="1" selected="0">
            <x v="94"/>
          </reference>
        </references>
      </pivotArea>
    </chartFormat>
    <chartFormat chart="2" format="208">
      <pivotArea type="data" outline="0" fieldPosition="0">
        <references count="2">
          <reference field="4294967294" count="1" selected="0">
            <x v="0"/>
          </reference>
          <reference field="0" count="1" selected="0">
            <x v="95"/>
          </reference>
        </references>
      </pivotArea>
    </chartFormat>
    <chartFormat chart="2" format="209">
      <pivotArea type="data" outline="0" fieldPosition="0">
        <references count="2">
          <reference field="4294967294" count="1" selected="0">
            <x v="0"/>
          </reference>
          <reference field="0" count="1" selected="0">
            <x v="96"/>
          </reference>
        </references>
      </pivotArea>
    </chartFormat>
    <chartFormat chart="2" format="210">
      <pivotArea type="data" outline="0" fieldPosition="0">
        <references count="2">
          <reference field="4294967294" count="1" selected="0">
            <x v="0"/>
          </reference>
          <reference field="0" count="1" selected="0">
            <x v="97"/>
          </reference>
        </references>
      </pivotArea>
    </chartFormat>
    <chartFormat chart="2" format="211">
      <pivotArea type="data" outline="0" fieldPosition="0">
        <references count="2">
          <reference field="4294967294" count="1" selected="0">
            <x v="0"/>
          </reference>
          <reference field="0" count="1" selected="0">
            <x v="98"/>
          </reference>
        </references>
      </pivotArea>
    </chartFormat>
    <chartFormat chart="2" format="212">
      <pivotArea type="data" outline="0" fieldPosition="0">
        <references count="2">
          <reference field="4294967294" count="1" selected="0">
            <x v="0"/>
          </reference>
          <reference field="0" count="1" selected="0">
            <x v="99"/>
          </reference>
        </references>
      </pivotArea>
    </chartFormat>
    <chartFormat chart="2" format="213">
      <pivotArea type="data" outline="0" fieldPosition="0">
        <references count="2">
          <reference field="4294967294" count="1" selected="0">
            <x v="0"/>
          </reference>
          <reference field="0" count="1" selected="0">
            <x v="100"/>
          </reference>
        </references>
      </pivotArea>
    </chartFormat>
    <chartFormat chart="2" format="214">
      <pivotArea type="data" outline="0" fieldPosition="0">
        <references count="2">
          <reference field="4294967294" count="1" selected="0">
            <x v="0"/>
          </reference>
          <reference field="0" count="1" selected="0">
            <x v="101"/>
          </reference>
        </references>
      </pivotArea>
    </chartFormat>
    <chartFormat chart="2" format="215">
      <pivotArea type="data" outline="0" fieldPosition="0">
        <references count="2">
          <reference field="4294967294" count="1" selected="0">
            <x v="0"/>
          </reference>
          <reference field="0" count="1" selected="0">
            <x v="102"/>
          </reference>
        </references>
      </pivotArea>
    </chartFormat>
    <chartFormat chart="2" format="216">
      <pivotArea type="data" outline="0" fieldPosition="0">
        <references count="2">
          <reference field="4294967294" count="1" selected="0">
            <x v="0"/>
          </reference>
          <reference field="0" count="1" selected="0">
            <x v="103"/>
          </reference>
        </references>
      </pivotArea>
    </chartFormat>
    <chartFormat chart="2" format="217">
      <pivotArea type="data" outline="0" fieldPosition="0">
        <references count="2">
          <reference field="4294967294" count="1" selected="0">
            <x v="0"/>
          </reference>
          <reference field="0" count="1" selected="0">
            <x v="104"/>
          </reference>
        </references>
      </pivotArea>
    </chartFormat>
    <chartFormat chart="2" format="218">
      <pivotArea type="data" outline="0" fieldPosition="0">
        <references count="2">
          <reference field="4294967294" count="1" selected="0">
            <x v="0"/>
          </reference>
          <reference field="0" count="1" selected="0">
            <x v="105"/>
          </reference>
        </references>
      </pivotArea>
    </chartFormat>
    <chartFormat chart="2" format="219">
      <pivotArea type="data" outline="0" fieldPosition="0">
        <references count="2">
          <reference field="4294967294" count="1" selected="0">
            <x v="0"/>
          </reference>
          <reference field="0" count="1" selected="0">
            <x v="106"/>
          </reference>
        </references>
      </pivotArea>
    </chartFormat>
    <chartFormat chart="2" format="220">
      <pivotArea type="data" outline="0" fieldPosition="0">
        <references count="2">
          <reference field="4294967294" count="1" selected="0">
            <x v="0"/>
          </reference>
          <reference field="0" count="1" selected="0">
            <x v="107"/>
          </reference>
        </references>
      </pivotArea>
    </chartFormat>
    <chartFormat chart="2" format="221">
      <pivotArea type="data" outline="0" fieldPosition="0">
        <references count="2">
          <reference field="4294967294" count="1" selected="0">
            <x v="0"/>
          </reference>
          <reference field="0" count="1" selected="0">
            <x v="108"/>
          </reference>
        </references>
      </pivotArea>
    </chartFormat>
    <chartFormat chart="2" format="222">
      <pivotArea type="data" outline="0" fieldPosition="0">
        <references count="2">
          <reference field="4294967294" count="1" selected="0">
            <x v="0"/>
          </reference>
          <reference field="0" count="1" selected="0">
            <x v="109"/>
          </reference>
        </references>
      </pivotArea>
    </chartFormat>
    <chartFormat chart="2" format="223">
      <pivotArea type="data" outline="0" fieldPosition="0">
        <references count="2">
          <reference field="4294967294" count="1" selected="0">
            <x v="0"/>
          </reference>
          <reference field="0" count="1" selected="0">
            <x v="110"/>
          </reference>
        </references>
      </pivotArea>
    </chartFormat>
    <chartFormat chart="2" format="224">
      <pivotArea type="data" outline="0" fieldPosition="0">
        <references count="2">
          <reference field="4294967294" count="1" selected="0">
            <x v="0"/>
          </reference>
          <reference field="0" count="1" selected="0">
            <x v="11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6"/>
          </reference>
        </references>
      </pivotArea>
    </chartFormat>
    <chartFormat chart="0" format="9">
      <pivotArea type="data" outline="0" fieldPosition="0">
        <references count="2">
          <reference field="4294967294" count="1" selected="0">
            <x v="0"/>
          </reference>
          <reference field="0" count="1" selected="0">
            <x v="7"/>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9"/>
          </reference>
        </references>
      </pivotArea>
    </chartFormat>
    <chartFormat chart="0" format="12">
      <pivotArea type="data" outline="0" fieldPosition="0">
        <references count="2">
          <reference field="4294967294" count="1" selected="0">
            <x v="0"/>
          </reference>
          <reference field="0" count="1" selected="0">
            <x v="10"/>
          </reference>
        </references>
      </pivotArea>
    </chartFormat>
    <chartFormat chart="0" format="13">
      <pivotArea type="data" outline="0" fieldPosition="0">
        <references count="2">
          <reference field="4294967294" count="1" selected="0">
            <x v="0"/>
          </reference>
          <reference field="0" count="1" selected="0">
            <x v="11"/>
          </reference>
        </references>
      </pivotArea>
    </chartFormat>
    <chartFormat chart="0" format="14">
      <pivotArea type="data" outline="0" fieldPosition="0">
        <references count="2">
          <reference field="4294967294" count="1" selected="0">
            <x v="0"/>
          </reference>
          <reference field="0" count="1" selected="0">
            <x v="12"/>
          </reference>
        </references>
      </pivotArea>
    </chartFormat>
    <chartFormat chart="0" format="15">
      <pivotArea type="data" outline="0" fieldPosition="0">
        <references count="2">
          <reference field="4294967294" count="1" selected="0">
            <x v="0"/>
          </reference>
          <reference field="0" count="1" selected="0">
            <x v="13"/>
          </reference>
        </references>
      </pivotArea>
    </chartFormat>
    <chartFormat chart="0" format="16">
      <pivotArea type="data" outline="0" fieldPosition="0">
        <references count="2">
          <reference field="4294967294" count="1" selected="0">
            <x v="0"/>
          </reference>
          <reference field="0" count="1" selected="0">
            <x v="14"/>
          </reference>
        </references>
      </pivotArea>
    </chartFormat>
    <chartFormat chart="0" format="17">
      <pivotArea type="data" outline="0" fieldPosition="0">
        <references count="2">
          <reference field="4294967294" count="1" selected="0">
            <x v="0"/>
          </reference>
          <reference field="0" count="1" selected="0">
            <x v="15"/>
          </reference>
        </references>
      </pivotArea>
    </chartFormat>
    <chartFormat chart="0" format="18">
      <pivotArea type="data" outline="0" fieldPosition="0">
        <references count="2">
          <reference field="4294967294" count="1" selected="0">
            <x v="0"/>
          </reference>
          <reference field="0" count="1" selected="0">
            <x v="16"/>
          </reference>
        </references>
      </pivotArea>
    </chartFormat>
    <chartFormat chart="0" format="19">
      <pivotArea type="data" outline="0" fieldPosition="0">
        <references count="2">
          <reference field="4294967294" count="1" selected="0">
            <x v="0"/>
          </reference>
          <reference field="0" count="1" selected="0">
            <x v="17"/>
          </reference>
        </references>
      </pivotArea>
    </chartFormat>
    <chartFormat chart="0" format="20">
      <pivotArea type="data" outline="0" fieldPosition="0">
        <references count="2">
          <reference field="4294967294" count="1" selected="0">
            <x v="0"/>
          </reference>
          <reference field="0" count="1" selected="0">
            <x v="18"/>
          </reference>
        </references>
      </pivotArea>
    </chartFormat>
    <chartFormat chart="0" format="21">
      <pivotArea type="data" outline="0" fieldPosition="0">
        <references count="2">
          <reference field="4294967294" count="1" selected="0">
            <x v="0"/>
          </reference>
          <reference field="0" count="1" selected="0">
            <x v="19"/>
          </reference>
        </references>
      </pivotArea>
    </chartFormat>
    <chartFormat chart="0" format="22">
      <pivotArea type="data" outline="0" fieldPosition="0">
        <references count="2">
          <reference field="4294967294" count="1" selected="0">
            <x v="0"/>
          </reference>
          <reference field="0" count="1" selected="0">
            <x v="20"/>
          </reference>
        </references>
      </pivotArea>
    </chartFormat>
    <chartFormat chart="0" format="23">
      <pivotArea type="data" outline="0" fieldPosition="0">
        <references count="2">
          <reference field="4294967294" count="1" selected="0">
            <x v="0"/>
          </reference>
          <reference field="0" count="1" selected="0">
            <x v="21"/>
          </reference>
        </references>
      </pivotArea>
    </chartFormat>
    <chartFormat chart="0" format="24">
      <pivotArea type="data" outline="0" fieldPosition="0">
        <references count="2">
          <reference field="4294967294" count="1" selected="0">
            <x v="0"/>
          </reference>
          <reference field="0" count="1" selected="0">
            <x v="22"/>
          </reference>
        </references>
      </pivotArea>
    </chartFormat>
    <chartFormat chart="0" format="25">
      <pivotArea type="data" outline="0" fieldPosition="0">
        <references count="2">
          <reference field="4294967294" count="1" selected="0">
            <x v="0"/>
          </reference>
          <reference field="0" count="1" selected="0">
            <x v="23"/>
          </reference>
        </references>
      </pivotArea>
    </chartFormat>
    <chartFormat chart="0" format="26">
      <pivotArea type="data" outline="0" fieldPosition="0">
        <references count="2">
          <reference field="4294967294" count="1" selected="0">
            <x v="0"/>
          </reference>
          <reference field="0" count="1" selected="0">
            <x v="24"/>
          </reference>
        </references>
      </pivotArea>
    </chartFormat>
    <chartFormat chart="0" format="27">
      <pivotArea type="data" outline="0" fieldPosition="0">
        <references count="2">
          <reference field="4294967294" count="1" selected="0">
            <x v="0"/>
          </reference>
          <reference field="0" count="1" selected="0">
            <x v="25"/>
          </reference>
        </references>
      </pivotArea>
    </chartFormat>
    <chartFormat chart="0" format="28">
      <pivotArea type="data" outline="0" fieldPosition="0">
        <references count="2">
          <reference field="4294967294" count="1" selected="0">
            <x v="0"/>
          </reference>
          <reference field="0" count="1" selected="0">
            <x v="26"/>
          </reference>
        </references>
      </pivotArea>
    </chartFormat>
    <chartFormat chart="0" format="29">
      <pivotArea type="data" outline="0" fieldPosition="0">
        <references count="2">
          <reference field="4294967294" count="1" selected="0">
            <x v="0"/>
          </reference>
          <reference field="0" count="1" selected="0">
            <x v="27"/>
          </reference>
        </references>
      </pivotArea>
    </chartFormat>
    <chartFormat chart="0" format="30">
      <pivotArea type="data" outline="0" fieldPosition="0">
        <references count="2">
          <reference field="4294967294" count="1" selected="0">
            <x v="0"/>
          </reference>
          <reference field="0" count="1" selected="0">
            <x v="28"/>
          </reference>
        </references>
      </pivotArea>
    </chartFormat>
    <chartFormat chart="0" format="31">
      <pivotArea type="data" outline="0" fieldPosition="0">
        <references count="2">
          <reference field="4294967294" count="1" selected="0">
            <x v="0"/>
          </reference>
          <reference field="0" count="1" selected="0">
            <x v="29"/>
          </reference>
        </references>
      </pivotArea>
    </chartFormat>
    <chartFormat chart="0" format="32">
      <pivotArea type="data" outline="0" fieldPosition="0">
        <references count="2">
          <reference field="4294967294" count="1" selected="0">
            <x v="0"/>
          </reference>
          <reference field="0" count="1" selected="0">
            <x v="30"/>
          </reference>
        </references>
      </pivotArea>
    </chartFormat>
    <chartFormat chart="0" format="33">
      <pivotArea type="data" outline="0" fieldPosition="0">
        <references count="2">
          <reference field="4294967294" count="1" selected="0">
            <x v="0"/>
          </reference>
          <reference field="0" count="1" selected="0">
            <x v="31"/>
          </reference>
        </references>
      </pivotArea>
    </chartFormat>
    <chartFormat chart="0" format="34">
      <pivotArea type="data" outline="0" fieldPosition="0">
        <references count="2">
          <reference field="4294967294" count="1" selected="0">
            <x v="0"/>
          </reference>
          <reference field="0" count="1" selected="0">
            <x v="32"/>
          </reference>
        </references>
      </pivotArea>
    </chartFormat>
    <chartFormat chart="0" format="35">
      <pivotArea type="data" outline="0" fieldPosition="0">
        <references count="2">
          <reference field="4294967294" count="1" selected="0">
            <x v="0"/>
          </reference>
          <reference field="0" count="1" selected="0">
            <x v="33"/>
          </reference>
        </references>
      </pivotArea>
    </chartFormat>
    <chartFormat chart="0" format="36">
      <pivotArea type="data" outline="0" fieldPosition="0">
        <references count="2">
          <reference field="4294967294" count="1" selected="0">
            <x v="0"/>
          </reference>
          <reference field="0" count="1" selected="0">
            <x v="34"/>
          </reference>
        </references>
      </pivotArea>
    </chartFormat>
    <chartFormat chart="0" format="37">
      <pivotArea type="data" outline="0" fieldPosition="0">
        <references count="2">
          <reference field="4294967294" count="1" selected="0">
            <x v="0"/>
          </reference>
          <reference field="0" count="1" selected="0">
            <x v="35"/>
          </reference>
        </references>
      </pivotArea>
    </chartFormat>
    <chartFormat chart="0" format="38">
      <pivotArea type="data" outline="0" fieldPosition="0">
        <references count="2">
          <reference field="4294967294" count="1" selected="0">
            <x v="0"/>
          </reference>
          <reference field="0" count="1" selected="0">
            <x v="36"/>
          </reference>
        </references>
      </pivotArea>
    </chartFormat>
    <chartFormat chart="0" format="39">
      <pivotArea type="data" outline="0" fieldPosition="0">
        <references count="2">
          <reference field="4294967294" count="1" selected="0">
            <x v="0"/>
          </reference>
          <reference field="0" count="1" selected="0">
            <x v="37"/>
          </reference>
        </references>
      </pivotArea>
    </chartFormat>
    <chartFormat chart="0" format="40">
      <pivotArea type="data" outline="0" fieldPosition="0">
        <references count="2">
          <reference field="4294967294" count="1" selected="0">
            <x v="0"/>
          </reference>
          <reference field="0" count="1" selected="0">
            <x v="38"/>
          </reference>
        </references>
      </pivotArea>
    </chartFormat>
    <chartFormat chart="0" format="41">
      <pivotArea type="data" outline="0" fieldPosition="0">
        <references count="2">
          <reference field="4294967294" count="1" selected="0">
            <x v="0"/>
          </reference>
          <reference field="0" count="1" selected="0">
            <x v="39"/>
          </reference>
        </references>
      </pivotArea>
    </chartFormat>
    <chartFormat chart="0" format="42">
      <pivotArea type="data" outline="0" fieldPosition="0">
        <references count="2">
          <reference field="4294967294" count="1" selected="0">
            <x v="0"/>
          </reference>
          <reference field="0" count="1" selected="0">
            <x v="40"/>
          </reference>
        </references>
      </pivotArea>
    </chartFormat>
    <chartFormat chart="0" format="43">
      <pivotArea type="data" outline="0" fieldPosition="0">
        <references count="2">
          <reference field="4294967294" count="1" selected="0">
            <x v="0"/>
          </reference>
          <reference field="0" count="1" selected="0">
            <x v="41"/>
          </reference>
        </references>
      </pivotArea>
    </chartFormat>
    <chartFormat chart="0" format="44">
      <pivotArea type="data" outline="0" fieldPosition="0">
        <references count="2">
          <reference field="4294967294" count="1" selected="0">
            <x v="0"/>
          </reference>
          <reference field="0" count="1" selected="0">
            <x v="42"/>
          </reference>
        </references>
      </pivotArea>
    </chartFormat>
    <chartFormat chart="0" format="45">
      <pivotArea type="data" outline="0" fieldPosition="0">
        <references count="2">
          <reference field="4294967294" count="1" selected="0">
            <x v="0"/>
          </reference>
          <reference field="0" count="1" selected="0">
            <x v="43"/>
          </reference>
        </references>
      </pivotArea>
    </chartFormat>
    <chartFormat chart="0" format="46">
      <pivotArea type="data" outline="0" fieldPosition="0">
        <references count="2">
          <reference field="4294967294" count="1" selected="0">
            <x v="0"/>
          </reference>
          <reference field="0" count="1" selected="0">
            <x v="44"/>
          </reference>
        </references>
      </pivotArea>
    </chartFormat>
    <chartFormat chart="0" format="47">
      <pivotArea type="data" outline="0" fieldPosition="0">
        <references count="2">
          <reference field="4294967294" count="1" selected="0">
            <x v="0"/>
          </reference>
          <reference field="0" count="1" selected="0">
            <x v="45"/>
          </reference>
        </references>
      </pivotArea>
    </chartFormat>
    <chartFormat chart="0" format="48">
      <pivotArea type="data" outline="0" fieldPosition="0">
        <references count="2">
          <reference field="4294967294" count="1" selected="0">
            <x v="0"/>
          </reference>
          <reference field="0" count="1" selected="0">
            <x v="46"/>
          </reference>
        </references>
      </pivotArea>
    </chartFormat>
    <chartFormat chart="0" format="49">
      <pivotArea type="data" outline="0" fieldPosition="0">
        <references count="2">
          <reference field="4294967294" count="1" selected="0">
            <x v="0"/>
          </reference>
          <reference field="0" count="1" selected="0">
            <x v="47"/>
          </reference>
        </references>
      </pivotArea>
    </chartFormat>
    <chartFormat chart="0" format="50">
      <pivotArea type="data" outline="0" fieldPosition="0">
        <references count="2">
          <reference field="4294967294" count="1" selected="0">
            <x v="0"/>
          </reference>
          <reference field="0" count="1" selected="0">
            <x v="48"/>
          </reference>
        </references>
      </pivotArea>
    </chartFormat>
    <chartFormat chart="0" format="51">
      <pivotArea type="data" outline="0" fieldPosition="0">
        <references count="2">
          <reference field="4294967294" count="1" selected="0">
            <x v="0"/>
          </reference>
          <reference field="0" count="1" selected="0">
            <x v="49"/>
          </reference>
        </references>
      </pivotArea>
    </chartFormat>
    <chartFormat chart="0" format="52">
      <pivotArea type="data" outline="0" fieldPosition="0">
        <references count="2">
          <reference field="4294967294" count="1" selected="0">
            <x v="0"/>
          </reference>
          <reference field="0" count="1" selected="0">
            <x v="50"/>
          </reference>
        </references>
      </pivotArea>
    </chartFormat>
    <chartFormat chart="0" format="53">
      <pivotArea type="data" outline="0" fieldPosition="0">
        <references count="2">
          <reference field="4294967294" count="1" selected="0">
            <x v="0"/>
          </reference>
          <reference field="0" count="1" selected="0">
            <x v="51"/>
          </reference>
        </references>
      </pivotArea>
    </chartFormat>
    <chartFormat chart="0" format="54">
      <pivotArea type="data" outline="0" fieldPosition="0">
        <references count="2">
          <reference field="4294967294" count="1" selected="0">
            <x v="0"/>
          </reference>
          <reference field="0" count="1" selected="0">
            <x v="52"/>
          </reference>
        </references>
      </pivotArea>
    </chartFormat>
    <chartFormat chart="0" format="55">
      <pivotArea type="data" outline="0" fieldPosition="0">
        <references count="2">
          <reference field="4294967294" count="1" selected="0">
            <x v="0"/>
          </reference>
          <reference field="0" count="1" selected="0">
            <x v="53"/>
          </reference>
        </references>
      </pivotArea>
    </chartFormat>
    <chartFormat chart="0" format="56">
      <pivotArea type="data" outline="0" fieldPosition="0">
        <references count="2">
          <reference field="4294967294" count="1" selected="0">
            <x v="0"/>
          </reference>
          <reference field="0" count="1" selected="0">
            <x v="54"/>
          </reference>
        </references>
      </pivotArea>
    </chartFormat>
    <chartFormat chart="0" format="57">
      <pivotArea type="data" outline="0" fieldPosition="0">
        <references count="2">
          <reference field="4294967294" count="1" selected="0">
            <x v="0"/>
          </reference>
          <reference field="0" count="1" selected="0">
            <x v="55"/>
          </reference>
        </references>
      </pivotArea>
    </chartFormat>
    <chartFormat chart="0" format="58">
      <pivotArea type="data" outline="0" fieldPosition="0">
        <references count="2">
          <reference field="4294967294" count="1" selected="0">
            <x v="0"/>
          </reference>
          <reference field="0" count="1" selected="0">
            <x v="56"/>
          </reference>
        </references>
      </pivotArea>
    </chartFormat>
    <chartFormat chart="0" format="59">
      <pivotArea type="data" outline="0" fieldPosition="0">
        <references count="2">
          <reference field="4294967294" count="1" selected="0">
            <x v="0"/>
          </reference>
          <reference field="0" count="1" selected="0">
            <x v="57"/>
          </reference>
        </references>
      </pivotArea>
    </chartFormat>
    <chartFormat chart="0" format="60">
      <pivotArea type="data" outline="0" fieldPosition="0">
        <references count="2">
          <reference field="4294967294" count="1" selected="0">
            <x v="0"/>
          </reference>
          <reference field="0" count="1" selected="0">
            <x v="58"/>
          </reference>
        </references>
      </pivotArea>
    </chartFormat>
    <chartFormat chart="0" format="61">
      <pivotArea type="data" outline="0" fieldPosition="0">
        <references count="2">
          <reference field="4294967294" count="1" selected="0">
            <x v="0"/>
          </reference>
          <reference field="0" count="1" selected="0">
            <x v="59"/>
          </reference>
        </references>
      </pivotArea>
    </chartFormat>
    <chartFormat chart="0" format="62">
      <pivotArea type="data" outline="0" fieldPosition="0">
        <references count="2">
          <reference field="4294967294" count="1" selected="0">
            <x v="0"/>
          </reference>
          <reference field="0" count="1" selected="0">
            <x v="60"/>
          </reference>
        </references>
      </pivotArea>
    </chartFormat>
    <chartFormat chart="0" format="63">
      <pivotArea type="data" outline="0" fieldPosition="0">
        <references count="2">
          <reference field="4294967294" count="1" selected="0">
            <x v="0"/>
          </reference>
          <reference field="0" count="1" selected="0">
            <x v="61"/>
          </reference>
        </references>
      </pivotArea>
    </chartFormat>
    <chartFormat chart="0" format="64">
      <pivotArea type="data" outline="0" fieldPosition="0">
        <references count="2">
          <reference field="4294967294" count="1" selected="0">
            <x v="0"/>
          </reference>
          <reference field="0" count="1" selected="0">
            <x v="62"/>
          </reference>
        </references>
      </pivotArea>
    </chartFormat>
    <chartFormat chart="0" format="65">
      <pivotArea type="data" outline="0" fieldPosition="0">
        <references count="2">
          <reference field="4294967294" count="1" selected="0">
            <x v="0"/>
          </reference>
          <reference field="0" count="1" selected="0">
            <x v="63"/>
          </reference>
        </references>
      </pivotArea>
    </chartFormat>
    <chartFormat chart="0" format="66">
      <pivotArea type="data" outline="0" fieldPosition="0">
        <references count="2">
          <reference field="4294967294" count="1" selected="0">
            <x v="0"/>
          </reference>
          <reference field="0" count="1" selected="0">
            <x v="64"/>
          </reference>
        </references>
      </pivotArea>
    </chartFormat>
    <chartFormat chart="0" format="67">
      <pivotArea type="data" outline="0" fieldPosition="0">
        <references count="2">
          <reference field="4294967294" count="1" selected="0">
            <x v="0"/>
          </reference>
          <reference field="0" count="1" selected="0">
            <x v="65"/>
          </reference>
        </references>
      </pivotArea>
    </chartFormat>
    <chartFormat chart="0" format="68">
      <pivotArea type="data" outline="0" fieldPosition="0">
        <references count="2">
          <reference field="4294967294" count="1" selected="0">
            <x v="0"/>
          </reference>
          <reference field="0" count="1" selected="0">
            <x v="66"/>
          </reference>
        </references>
      </pivotArea>
    </chartFormat>
    <chartFormat chart="0" format="69">
      <pivotArea type="data" outline="0" fieldPosition="0">
        <references count="2">
          <reference field="4294967294" count="1" selected="0">
            <x v="0"/>
          </reference>
          <reference field="0" count="1" selected="0">
            <x v="67"/>
          </reference>
        </references>
      </pivotArea>
    </chartFormat>
    <chartFormat chart="0" format="70">
      <pivotArea type="data" outline="0" fieldPosition="0">
        <references count="2">
          <reference field="4294967294" count="1" selected="0">
            <x v="0"/>
          </reference>
          <reference field="0" count="1" selected="0">
            <x v="68"/>
          </reference>
        </references>
      </pivotArea>
    </chartFormat>
    <chartFormat chart="0" format="71">
      <pivotArea type="data" outline="0" fieldPosition="0">
        <references count="2">
          <reference field="4294967294" count="1" selected="0">
            <x v="0"/>
          </reference>
          <reference field="0" count="1" selected="0">
            <x v="69"/>
          </reference>
        </references>
      </pivotArea>
    </chartFormat>
    <chartFormat chart="0" format="72">
      <pivotArea type="data" outline="0" fieldPosition="0">
        <references count="2">
          <reference field="4294967294" count="1" selected="0">
            <x v="0"/>
          </reference>
          <reference field="0" count="1" selected="0">
            <x v="70"/>
          </reference>
        </references>
      </pivotArea>
    </chartFormat>
    <chartFormat chart="0" format="73">
      <pivotArea type="data" outline="0" fieldPosition="0">
        <references count="2">
          <reference field="4294967294" count="1" selected="0">
            <x v="0"/>
          </reference>
          <reference field="0" count="1" selected="0">
            <x v="71"/>
          </reference>
        </references>
      </pivotArea>
    </chartFormat>
    <chartFormat chart="0" format="74">
      <pivotArea type="data" outline="0" fieldPosition="0">
        <references count="2">
          <reference field="4294967294" count="1" selected="0">
            <x v="0"/>
          </reference>
          <reference field="0" count="1" selected="0">
            <x v="72"/>
          </reference>
        </references>
      </pivotArea>
    </chartFormat>
    <chartFormat chart="0" format="75">
      <pivotArea type="data" outline="0" fieldPosition="0">
        <references count="2">
          <reference field="4294967294" count="1" selected="0">
            <x v="0"/>
          </reference>
          <reference field="0" count="1" selected="0">
            <x v="73"/>
          </reference>
        </references>
      </pivotArea>
    </chartFormat>
    <chartFormat chart="0" format="76">
      <pivotArea type="data" outline="0" fieldPosition="0">
        <references count="2">
          <reference field="4294967294" count="1" selected="0">
            <x v="0"/>
          </reference>
          <reference field="0" count="1" selected="0">
            <x v="74"/>
          </reference>
        </references>
      </pivotArea>
    </chartFormat>
    <chartFormat chart="0" format="77">
      <pivotArea type="data" outline="0" fieldPosition="0">
        <references count="2">
          <reference field="4294967294" count="1" selected="0">
            <x v="0"/>
          </reference>
          <reference field="0" count="1" selected="0">
            <x v="75"/>
          </reference>
        </references>
      </pivotArea>
    </chartFormat>
    <chartFormat chart="0" format="78">
      <pivotArea type="data" outline="0" fieldPosition="0">
        <references count="2">
          <reference field="4294967294" count="1" selected="0">
            <x v="0"/>
          </reference>
          <reference field="0" count="1" selected="0">
            <x v="76"/>
          </reference>
        </references>
      </pivotArea>
    </chartFormat>
    <chartFormat chart="0" format="79">
      <pivotArea type="data" outline="0" fieldPosition="0">
        <references count="2">
          <reference field="4294967294" count="1" selected="0">
            <x v="0"/>
          </reference>
          <reference field="0" count="1" selected="0">
            <x v="77"/>
          </reference>
        </references>
      </pivotArea>
    </chartFormat>
    <chartFormat chart="0" format="80">
      <pivotArea type="data" outline="0" fieldPosition="0">
        <references count="2">
          <reference field="4294967294" count="1" selected="0">
            <x v="0"/>
          </reference>
          <reference field="0" count="1" selected="0">
            <x v="78"/>
          </reference>
        </references>
      </pivotArea>
    </chartFormat>
    <chartFormat chart="0" format="81">
      <pivotArea type="data" outline="0" fieldPosition="0">
        <references count="2">
          <reference field="4294967294" count="1" selected="0">
            <x v="0"/>
          </reference>
          <reference field="0" count="1" selected="0">
            <x v="79"/>
          </reference>
        </references>
      </pivotArea>
    </chartFormat>
    <chartFormat chart="0" format="82">
      <pivotArea type="data" outline="0" fieldPosition="0">
        <references count="2">
          <reference field="4294967294" count="1" selected="0">
            <x v="0"/>
          </reference>
          <reference field="0" count="1" selected="0">
            <x v="80"/>
          </reference>
        </references>
      </pivotArea>
    </chartFormat>
    <chartFormat chart="0" format="83">
      <pivotArea type="data" outline="0" fieldPosition="0">
        <references count="2">
          <reference field="4294967294" count="1" selected="0">
            <x v="0"/>
          </reference>
          <reference field="0" count="1" selected="0">
            <x v="81"/>
          </reference>
        </references>
      </pivotArea>
    </chartFormat>
    <chartFormat chart="0" format="84">
      <pivotArea type="data" outline="0" fieldPosition="0">
        <references count="2">
          <reference field="4294967294" count="1" selected="0">
            <x v="0"/>
          </reference>
          <reference field="0" count="1" selected="0">
            <x v="82"/>
          </reference>
        </references>
      </pivotArea>
    </chartFormat>
    <chartFormat chart="0" format="85">
      <pivotArea type="data" outline="0" fieldPosition="0">
        <references count="2">
          <reference field="4294967294" count="1" selected="0">
            <x v="0"/>
          </reference>
          <reference field="0" count="1" selected="0">
            <x v="83"/>
          </reference>
        </references>
      </pivotArea>
    </chartFormat>
    <chartFormat chart="0" format="86">
      <pivotArea type="data" outline="0" fieldPosition="0">
        <references count="2">
          <reference field="4294967294" count="1" selected="0">
            <x v="0"/>
          </reference>
          <reference field="0" count="1" selected="0">
            <x v="84"/>
          </reference>
        </references>
      </pivotArea>
    </chartFormat>
    <chartFormat chart="0" format="87">
      <pivotArea type="data" outline="0" fieldPosition="0">
        <references count="2">
          <reference field="4294967294" count="1" selected="0">
            <x v="0"/>
          </reference>
          <reference field="0" count="1" selected="0">
            <x v="85"/>
          </reference>
        </references>
      </pivotArea>
    </chartFormat>
    <chartFormat chart="0" format="88">
      <pivotArea type="data" outline="0" fieldPosition="0">
        <references count="2">
          <reference field="4294967294" count="1" selected="0">
            <x v="0"/>
          </reference>
          <reference field="0" count="1" selected="0">
            <x v="86"/>
          </reference>
        </references>
      </pivotArea>
    </chartFormat>
    <chartFormat chart="0" format="89">
      <pivotArea type="data" outline="0" fieldPosition="0">
        <references count="2">
          <reference field="4294967294" count="1" selected="0">
            <x v="0"/>
          </reference>
          <reference field="0" count="1" selected="0">
            <x v="87"/>
          </reference>
        </references>
      </pivotArea>
    </chartFormat>
    <chartFormat chart="0" format="90">
      <pivotArea type="data" outline="0" fieldPosition="0">
        <references count="2">
          <reference field="4294967294" count="1" selected="0">
            <x v="0"/>
          </reference>
          <reference field="0" count="1" selected="0">
            <x v="88"/>
          </reference>
        </references>
      </pivotArea>
    </chartFormat>
    <chartFormat chart="0" format="91">
      <pivotArea type="data" outline="0" fieldPosition="0">
        <references count="2">
          <reference field="4294967294" count="1" selected="0">
            <x v="0"/>
          </reference>
          <reference field="0" count="1" selected="0">
            <x v="89"/>
          </reference>
        </references>
      </pivotArea>
    </chartFormat>
    <chartFormat chart="0" format="92">
      <pivotArea type="data" outline="0" fieldPosition="0">
        <references count="2">
          <reference field="4294967294" count="1" selected="0">
            <x v="0"/>
          </reference>
          <reference field="0" count="1" selected="0">
            <x v="90"/>
          </reference>
        </references>
      </pivotArea>
    </chartFormat>
    <chartFormat chart="0" format="93">
      <pivotArea type="data" outline="0" fieldPosition="0">
        <references count="2">
          <reference field="4294967294" count="1" selected="0">
            <x v="0"/>
          </reference>
          <reference field="0" count="1" selected="0">
            <x v="91"/>
          </reference>
        </references>
      </pivotArea>
    </chartFormat>
    <chartFormat chart="0" format="94">
      <pivotArea type="data" outline="0" fieldPosition="0">
        <references count="2">
          <reference field="4294967294" count="1" selected="0">
            <x v="0"/>
          </reference>
          <reference field="0" count="1" selected="0">
            <x v="92"/>
          </reference>
        </references>
      </pivotArea>
    </chartFormat>
    <chartFormat chart="0" format="95">
      <pivotArea type="data" outline="0" fieldPosition="0">
        <references count="2">
          <reference field="4294967294" count="1" selected="0">
            <x v="0"/>
          </reference>
          <reference field="0" count="1" selected="0">
            <x v="93"/>
          </reference>
        </references>
      </pivotArea>
    </chartFormat>
    <chartFormat chart="0" format="96">
      <pivotArea type="data" outline="0" fieldPosition="0">
        <references count="2">
          <reference field="4294967294" count="1" selected="0">
            <x v="0"/>
          </reference>
          <reference field="0" count="1" selected="0">
            <x v="94"/>
          </reference>
        </references>
      </pivotArea>
    </chartFormat>
    <chartFormat chart="0" format="97">
      <pivotArea type="data" outline="0" fieldPosition="0">
        <references count="2">
          <reference field="4294967294" count="1" selected="0">
            <x v="0"/>
          </reference>
          <reference field="0" count="1" selected="0">
            <x v="95"/>
          </reference>
        </references>
      </pivotArea>
    </chartFormat>
    <chartFormat chart="0" format="98">
      <pivotArea type="data" outline="0" fieldPosition="0">
        <references count="2">
          <reference field="4294967294" count="1" selected="0">
            <x v="0"/>
          </reference>
          <reference field="0" count="1" selected="0">
            <x v="96"/>
          </reference>
        </references>
      </pivotArea>
    </chartFormat>
    <chartFormat chart="0" format="99">
      <pivotArea type="data" outline="0" fieldPosition="0">
        <references count="2">
          <reference field="4294967294" count="1" selected="0">
            <x v="0"/>
          </reference>
          <reference field="0" count="1" selected="0">
            <x v="97"/>
          </reference>
        </references>
      </pivotArea>
    </chartFormat>
    <chartFormat chart="0" format="100">
      <pivotArea type="data" outline="0" fieldPosition="0">
        <references count="2">
          <reference field="4294967294" count="1" selected="0">
            <x v="0"/>
          </reference>
          <reference field="0" count="1" selected="0">
            <x v="98"/>
          </reference>
        </references>
      </pivotArea>
    </chartFormat>
    <chartFormat chart="0" format="101">
      <pivotArea type="data" outline="0" fieldPosition="0">
        <references count="2">
          <reference field="4294967294" count="1" selected="0">
            <x v="0"/>
          </reference>
          <reference field="0" count="1" selected="0">
            <x v="99"/>
          </reference>
        </references>
      </pivotArea>
    </chartFormat>
    <chartFormat chart="0" format="102">
      <pivotArea type="data" outline="0" fieldPosition="0">
        <references count="2">
          <reference field="4294967294" count="1" selected="0">
            <x v="0"/>
          </reference>
          <reference field="0" count="1" selected="0">
            <x v="100"/>
          </reference>
        </references>
      </pivotArea>
    </chartFormat>
    <chartFormat chart="0" format="103">
      <pivotArea type="data" outline="0" fieldPosition="0">
        <references count="2">
          <reference field="4294967294" count="1" selected="0">
            <x v="0"/>
          </reference>
          <reference field="0" count="1" selected="0">
            <x v="101"/>
          </reference>
        </references>
      </pivotArea>
    </chartFormat>
    <chartFormat chart="0" format="104">
      <pivotArea type="data" outline="0" fieldPosition="0">
        <references count="2">
          <reference field="4294967294" count="1" selected="0">
            <x v="0"/>
          </reference>
          <reference field="0" count="1" selected="0">
            <x v="102"/>
          </reference>
        </references>
      </pivotArea>
    </chartFormat>
    <chartFormat chart="0" format="105">
      <pivotArea type="data" outline="0" fieldPosition="0">
        <references count="2">
          <reference field="4294967294" count="1" selected="0">
            <x v="0"/>
          </reference>
          <reference field="0" count="1" selected="0">
            <x v="103"/>
          </reference>
        </references>
      </pivotArea>
    </chartFormat>
    <chartFormat chart="0" format="106">
      <pivotArea type="data" outline="0" fieldPosition="0">
        <references count="2">
          <reference field="4294967294" count="1" selected="0">
            <x v="0"/>
          </reference>
          <reference field="0" count="1" selected="0">
            <x v="104"/>
          </reference>
        </references>
      </pivotArea>
    </chartFormat>
    <chartFormat chart="0" format="107">
      <pivotArea type="data" outline="0" fieldPosition="0">
        <references count="2">
          <reference field="4294967294" count="1" selected="0">
            <x v="0"/>
          </reference>
          <reference field="0" count="1" selected="0">
            <x v="105"/>
          </reference>
        </references>
      </pivotArea>
    </chartFormat>
    <chartFormat chart="0" format="108">
      <pivotArea type="data" outline="0" fieldPosition="0">
        <references count="2">
          <reference field="4294967294" count="1" selected="0">
            <x v="0"/>
          </reference>
          <reference field="0" count="1" selected="0">
            <x v="106"/>
          </reference>
        </references>
      </pivotArea>
    </chartFormat>
    <chartFormat chart="0" format="109">
      <pivotArea type="data" outline="0" fieldPosition="0">
        <references count="2">
          <reference field="4294967294" count="1" selected="0">
            <x v="0"/>
          </reference>
          <reference field="0" count="1" selected="0">
            <x v="107"/>
          </reference>
        </references>
      </pivotArea>
    </chartFormat>
    <chartFormat chart="0" format="110">
      <pivotArea type="data" outline="0" fieldPosition="0">
        <references count="2">
          <reference field="4294967294" count="1" selected="0">
            <x v="0"/>
          </reference>
          <reference field="0" count="1" selected="0">
            <x v="108"/>
          </reference>
        </references>
      </pivotArea>
    </chartFormat>
    <chartFormat chart="0" format="111">
      <pivotArea type="data" outline="0" fieldPosition="0">
        <references count="2">
          <reference field="4294967294" count="1" selected="0">
            <x v="0"/>
          </reference>
          <reference field="0" count="1" selected="0">
            <x v="109"/>
          </reference>
        </references>
      </pivotArea>
    </chartFormat>
    <chartFormat chart="0" format="112">
      <pivotArea type="data" outline="0" fieldPosition="0">
        <references count="2">
          <reference field="4294967294" count="1" selected="0">
            <x v="0"/>
          </reference>
          <reference field="0" count="1" selected="0">
            <x v="110"/>
          </reference>
        </references>
      </pivotArea>
    </chartFormat>
    <chartFormat chart="0" format="113">
      <pivotArea type="data" outline="0" fieldPosition="0">
        <references count="2">
          <reference field="4294967294" count="1" selected="0">
            <x v="0"/>
          </reference>
          <reference field="0" count="1" selected="0">
            <x v="1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6:D120" firstHeaderRow="0" firstDataRow="1" firstDataCol="1"/>
  <pivotFields count="10">
    <pivotField showAll="0">
      <items count="114">
        <item x="111"/>
        <item x="112"/>
        <item x="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showAll="0"/>
    <pivotField showAll="0"/>
    <pivotField axis="axisRow" showAll="0">
      <items count="5">
        <item x="1"/>
        <item x="2"/>
        <item x="0"/>
        <item h="1" x="3"/>
        <item t="default"/>
      </items>
    </pivotField>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1"/>
        <item x="14"/>
        <item x="18"/>
        <item x="19"/>
        <item x="12"/>
        <item x="20"/>
        <item x="16"/>
        <item x="15"/>
        <item x="17"/>
        <item x="13"/>
        <item x="9"/>
        <item x="6"/>
        <item x="23"/>
        <item x="5"/>
        <item x="1"/>
        <item x="7"/>
        <item x="11"/>
        <item x="10"/>
        <item x="0"/>
        <item x="2"/>
        <item x="3"/>
        <item x="4"/>
        <item x="8"/>
        <item x="22"/>
        <item t="default"/>
      </items>
    </pivotField>
    <pivotField showAll="0"/>
  </pivotFields>
  <rowFields count="1">
    <field x="5"/>
  </rowFields>
  <rowItems count="4">
    <i>
      <x/>
    </i>
    <i>
      <x v="1"/>
    </i>
    <i>
      <x v="2"/>
    </i>
    <i t="grand">
      <x/>
    </i>
  </rowItems>
  <colFields count="1">
    <field x="-2"/>
  </colFields>
  <colItems count="3">
    <i>
      <x/>
    </i>
    <i i="1">
      <x v="1"/>
    </i>
    <i i="2">
      <x v="2"/>
    </i>
  </colItems>
  <dataFields count="3">
    <dataField name="Average of Rating" fld="8" subtotal="average" baseField="5" baseItem="0" numFmtId="164"/>
    <dataField name="Count of Review 2" fld="7" subtotal="count" baseField="5" baseItem="0"/>
    <dataField name="Count of Discount" fld="3" subtotal="count" baseField="5"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3" firstHeaderRow="0" firstDataRow="1" firstDataCol="1"/>
  <pivotFields count="10">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dataField="1" numFmtId="1" showAll="0"/>
    <pivotField showAll="0">
      <items count="4">
        <item x="1"/>
        <item x="2"/>
        <item x="0"/>
        <item t="default"/>
      </items>
    </pivotField>
    <pivotField numFmtId="1" showAll="0"/>
    <pivotField dataField="1" numFmtId="1" showAll="0"/>
    <pivotField dataField="1" numFmtId="164" showAll="0"/>
    <pivotField showAll="0">
      <items count="4">
        <item x="1"/>
        <item x="0"/>
        <item x="2"/>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3">
    <i>
      <x/>
    </i>
    <i i="1">
      <x v="1"/>
    </i>
    <i i="2">
      <x v="2"/>
    </i>
  </colItems>
  <dataFields count="3">
    <dataField name="Sum of Review 2" fld="7" baseField="0" baseItem="0"/>
    <dataField name="Sum of Discount amount" fld="4" baseField="0" baseItem="0"/>
    <dataField name="Sum of Rating" fld="8" baseField="0" baseItem="0"/>
  </dataFields>
  <formats count="1">
    <format dxfId="0">
      <pivotArea collapsedLevelsAreSubtotals="1" fieldPosition="0">
        <references count="2">
          <reference field="4294967294" count="1" selected="0">
            <x v="0"/>
          </reference>
          <reference field="0" count="1">
            <x v="8"/>
          </reference>
        </references>
      </pivotArea>
    </format>
  </formats>
  <conditionalFormats count="3">
    <conditionalFormat type="all" priority="3">
      <pivotAreas count="1">
        <pivotArea outline="0" fieldPosition="0">
          <references count="1">
            <reference field="4294967294" count="1">
              <x v="0"/>
            </reference>
          </references>
        </pivotArea>
      </pivotAreas>
    </conditionalFormat>
    <conditionalFormat type="all" priority="2">
      <pivotAreas count="1">
        <pivotArea type="data" outline="0" collapsedLevelsAreSubtotals="1" fieldPosition="0">
          <references count="1">
            <reference field="4294967294" count="1" selected="0">
              <x v="2"/>
            </reference>
          </references>
        </pivotArea>
      </pivotAreas>
    </conditionalFormat>
    <conditionalFormat type="all"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0000000-0013-0000-FFFF-FFFF01000000}" sourceName="Discount category">
  <pivotTables>
    <pivotTable tabId="8" name="PivotTable9"/>
  </pivotTables>
  <data>
    <tabular pivotCacheId="50161973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8" name="PivotTable10"/>
  </pivotTables>
  <data>
    <tabular pivotCacheId="2009384588">
      <items count="113">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 x="111" s="1" nd="1"/>
        <i x="112" s="1" nd="1"/>
        <i x="110" s="1" nd="1"/>
        <i x="10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00000000-0013-0000-FFFF-FFFF03000000}" sourceName="Discount category">
  <pivotTables>
    <pivotTable tabId="8" name="PivotTable10"/>
  </pivotTables>
  <data>
    <tabular pivotCacheId="2009384588">
      <items count="4">
        <i x="1" s="1"/>
        <i x="2" s="1"/>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0000000-0013-0000-FFFF-FFFF04000000}" sourceName="Rating">
  <pivotTables>
    <pivotTable tabId="8" name="PivotTable10"/>
  </pivotTables>
  <data>
    <tabular pivotCacheId="2009384588">
      <items count="24">
        <i x="21" s="1"/>
        <i x="14" s="1"/>
        <i x="18" s="1"/>
        <i x="19" s="1"/>
        <i x="12" s="1"/>
        <i x="20" s="1"/>
        <i x="16" s="1"/>
        <i x="15" s="1"/>
        <i x="17" s="1"/>
        <i x="13" s="1"/>
        <i x="9" s="1"/>
        <i x="6" s="1"/>
        <i x="5" s="1"/>
        <i x="1" s="1"/>
        <i x="7" s="1"/>
        <i x="11" s="1"/>
        <i x="10" s="1"/>
        <i x="0" s="1"/>
        <i x="2" s="1"/>
        <i x="3" s="1"/>
        <i x="4" s="1"/>
        <i x="8" s="1"/>
        <i x="23" s="1" nd="1"/>
        <i x="2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0000000-0013-0000-FFFF-FFFF05000000}" sourceName="Product">
  <pivotTables>
    <pivotTable tabId="7" name="PivotTable11"/>
  </pivotTables>
  <data>
    <tabular pivotCacheId="2009384588">
      <items count="113">
        <i x="110" s="1"/>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 x="111" s="1" nd="1"/>
        <i x="112" s="1" nd="1"/>
        <i x="10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2" xr10:uid="{00000000-0013-0000-FFFF-FFFF06000000}" sourceName="Discount category">
  <pivotTables>
    <pivotTable tabId="7" name="PivotTable11"/>
  </pivotTables>
  <data>
    <tabular pivotCacheId="2009384588">
      <items count="4">
        <i x="1" s="1"/>
        <i x="2"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2" xr10:uid="{00000000-0013-0000-FFFF-FFFF07000000}" sourceName="Review 2">
  <pivotTables>
    <pivotTable tabId="7" name="PivotTable11"/>
  </pivotTables>
  <data>
    <tabular pivotCacheId="2009384588">
      <items count="25">
        <i x="14" s="1"/>
        <i x="18" s="1"/>
        <i x="0" s="1"/>
        <i x="11" s="1"/>
        <i x="4" s="1"/>
        <i x="9" s="1"/>
        <i x="3" s="1"/>
        <i x="10" s="1"/>
        <i x="20" s="1"/>
        <i x="7" s="1"/>
        <i x="13" s="1"/>
        <i x="1" s="1"/>
        <i x="5" s="1"/>
        <i x="22" s="1"/>
        <i x="23" s="1"/>
        <i x="16" s="1"/>
        <i x="2" s="1"/>
        <i x="17" s="1"/>
        <i x="19" s="1"/>
        <i x="8" s="1"/>
        <i x="12" s="1"/>
        <i x="15" s="1"/>
        <i x="6" s="1"/>
        <i x="21" s="1"/>
        <i x="2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_Category" xr10:uid="{00000000-0013-0000-FFFF-FFFF08000000}" sourceName="Rating  Category">
  <pivotTables>
    <pivotTable tabId="7" name="PivotTable11"/>
  </pivotTables>
  <data>
    <tabular pivotCacheId="2009384588">
      <items count="4">
        <i x="1" s="1"/>
        <i x="0"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_Category1" xr10:uid="{00000000-0013-0000-FFFF-FFFF09000000}" sourceName="Rating  Category">
  <pivotTables>
    <pivotTable tabId="8" name="PivotTable9"/>
  </pivotTables>
  <data>
    <tabular pivotCacheId="501619733">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_Category2" xr10:uid="{00000000-0013-0000-FFFF-FFFF0A000000}" sourceName="Rating  Category">
  <pivotTables>
    <pivotTable tabId="5" name="PivotTable6"/>
  </pivotTables>
  <data>
    <tabular pivotCacheId="501619733">
      <items count="3">
        <i x="1" s="1"/>
        <i x="0"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_Category3" xr10:uid="{00000000-0013-0000-FFFF-FFFF0B000000}" sourceName="Rating  Category">
  <pivotTables>
    <pivotTable tabId="7" name="PivotTable13"/>
  </pivotTables>
  <data>
    <tabular pivotCacheId="2009384588">
      <items count="4">
        <i x="1" s="1"/>
        <i x="0" s="1"/>
        <i x="2" s="1"/>
        <i x="3"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21" xr10:uid="{00000000-0013-0000-FFFF-FFFF0C000000}" sourceName="Review 2">
  <pivotTables>
    <pivotTable tabId="7" name="PivotTable13"/>
  </pivotTables>
  <data>
    <tabular pivotCacheId="2009384588">
      <items count="25">
        <i x="14" s="1"/>
        <i x="18" s="1"/>
        <i x="0" s="1"/>
        <i x="11" s="1"/>
        <i x="4" s="1"/>
        <i x="9" s="1"/>
        <i x="3" s="1"/>
        <i x="10" s="1"/>
        <i x="20" s="1"/>
        <i x="7" s="1"/>
        <i x="13" s="1"/>
        <i x="1" s="1"/>
        <i x="5" s="1"/>
        <i x="22" s="1"/>
        <i x="23" s="1"/>
        <i x="16" s="1"/>
        <i x="2" s="1"/>
        <i x="17" s="1"/>
        <i x="19" s="1"/>
        <i x="8" s="1"/>
        <i x="12" s="1"/>
        <i x="15" s="1"/>
        <i x="6" s="1"/>
        <i x="21"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3" xr10:uid="{00000000-0014-0000-FFFF-FFFF01000000}" cache="Slicer_Discount_category" caption="Discount category" style="SlicerStyleOther1" rowHeight="241300"/>
  <slicer name="Product 2" xr10:uid="{00000000-0014-0000-FFFF-FFFF02000000}" cache="Slicer_Product" caption="Product" style="SlicerStyleOther1" rowHeight="241300"/>
  <slicer name="Rating  Category 3" xr10:uid="{00000000-0014-0000-FFFF-FFFF03000000}" cache="Slicer_Rating__Category2" caption="Rating  Category" style="SlicerStyleOther1" rowHeight="241300"/>
  <slicer name="Review 2 2" xr10:uid="{00000000-0014-0000-FFFF-FFFF04000000}" cache="Slicer_Review_21" caption="Review 2"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00000000-0014-0000-FFFF-FFFF05000000}" cache="Slicer_Rating__Category2"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6000000}" cache="Slicer_Product1" caption="Product" rowHeight="241300"/>
  <slicer name="Discount category 2" xr10:uid="{00000000-0014-0000-FFFF-FFFF07000000}" cache="Slicer_Discount_category2" caption="Discount category" rowHeight="241300"/>
  <slicer name="Review 2" xr10:uid="{00000000-0014-0000-FFFF-FFFF08000000}" cache="Slicer_Review_2" caption="Review 2" rowHeight="241300"/>
  <slicer name="Rating  Category" xr10:uid="{00000000-0014-0000-FFFF-FFFF09000000}" cache="Slicer_Rating__Category" caption="Rating  Category" rowHeight="241300"/>
  <slicer name="Rating  Category 4" xr10:uid="{00000000-0014-0000-FFFF-FFFF0A000000}" cache="Slicer_Rating__Category3" caption="Rating  Category" rowHeight="241300"/>
  <slicer name="Review 2 1" xr10:uid="{00000000-0014-0000-FFFF-FFFF0B000000}" cache="Slicer_Review_21" caption="Review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0000000-0014-0000-FFFF-FFFF0C000000}" cache="Slicer_Discount_category" caption="Discount category" rowHeight="241300"/>
  <slicer name="Product" xr10:uid="{00000000-0014-0000-FFFF-FFFF0D000000}" cache="Slicer_Product" caption="Product" rowHeight="241300"/>
  <slicer name="Discount category 1" xr10:uid="{00000000-0014-0000-FFFF-FFFF0E000000}" cache="Slicer_Discount_category1" caption="Discount category" rowHeight="241300"/>
  <slicer name="Rating" xr10:uid="{00000000-0014-0000-FFFF-FFFF0F000000}" cache="Slicer_Rating" caption="Rating" rowHeight="241300"/>
  <slicer name="Rating  Category 1" xr10:uid="{00000000-0014-0000-FFFF-FFFF10000000}" cache="Slicer_Rating__Category1"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drawing" Target="../drawings/drawing6.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4.xml"/><Relationship Id="rId5" Type="http://schemas.openxmlformats.org/officeDocument/2006/relationships/drawing" Target="../drawings/drawing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workbookViewId="0">
      <pane ySplit="1" topLeftCell="A12" activePane="bottomLeft" state="frozen"/>
      <selection pane="bottomLeft" activeCell="B22" sqref="B22"/>
    </sheetView>
  </sheetViews>
  <sheetFormatPr defaultRowHeight="14.25" x14ac:dyDescent="0.45"/>
  <cols>
    <col min="1" max="1" width="84.9296875" style="2" bestFit="1" customWidth="1"/>
    <col min="2" max="3" width="18" style="32" bestFit="1" customWidth="1"/>
    <col min="4" max="4" width="7.59765625" style="1" bestFit="1" customWidth="1"/>
    <col min="5" max="5" width="17.59765625" style="5" customWidth="1"/>
    <col min="6" max="6" width="17.59765625" style="1" customWidth="1"/>
    <col min="7" max="7" width="6.3984375" style="5" bestFit="1" customWidth="1"/>
    <col min="8" max="8" width="16.19921875" style="5" customWidth="1"/>
    <col min="9" max="9" width="9.86328125" style="11" bestFit="1" customWidth="1"/>
    <col min="10" max="10" width="15" customWidth="1"/>
  </cols>
  <sheetData>
    <row r="1" spans="1:10" s="9" customFormat="1" x14ac:dyDescent="0.45">
      <c r="A1" s="7" t="s">
        <v>0</v>
      </c>
      <c r="B1" s="31" t="s">
        <v>1</v>
      </c>
      <c r="C1" s="31" t="s">
        <v>2</v>
      </c>
      <c r="D1" s="12" t="s">
        <v>3</v>
      </c>
      <c r="E1" s="8" t="s">
        <v>117</v>
      </c>
      <c r="F1" s="12" t="s">
        <v>119</v>
      </c>
      <c r="G1" s="8" t="s">
        <v>4</v>
      </c>
      <c r="H1" s="8" t="s">
        <v>116</v>
      </c>
      <c r="I1" s="10" t="s">
        <v>114</v>
      </c>
      <c r="J1" s="9" t="s">
        <v>120</v>
      </c>
    </row>
    <row r="2" spans="1:10" x14ac:dyDescent="0.45">
      <c r="A2" s="2" t="s">
        <v>5</v>
      </c>
      <c r="B2" s="32">
        <v>950</v>
      </c>
      <c r="C2" s="32">
        <v>1525</v>
      </c>
      <c r="D2" s="1">
        <v>0.38</v>
      </c>
      <c r="E2" s="5">
        <f>C2-B2</f>
        <v>575</v>
      </c>
      <c r="F2" s="3" t="str">
        <f>IF(D2&lt;20%,"Low",IF(D2&lt;=40%,"Medium","High"))</f>
        <v>Medium</v>
      </c>
      <c r="G2" s="5">
        <v>-2</v>
      </c>
      <c r="H2" s="5">
        <f>IF(G2&lt;0,-G2,G2)</f>
        <v>2</v>
      </c>
      <c r="I2" s="4">
        <v>4.5</v>
      </c>
      <c r="J2" t="str">
        <f>IF(I2&lt;3,"Poor",IF(I2&lt;=4.4,"Average","Execellent"))</f>
        <v>Execellent</v>
      </c>
    </row>
    <row r="3" spans="1:10" x14ac:dyDescent="0.45">
      <c r="A3" s="2" t="s">
        <v>6</v>
      </c>
      <c r="B3" s="32">
        <v>527</v>
      </c>
      <c r="C3" s="32">
        <v>999</v>
      </c>
      <c r="D3" s="1">
        <v>0.47</v>
      </c>
      <c r="E3" s="5">
        <f t="shared" ref="E3:E22" si="0">C3-B3</f>
        <v>472</v>
      </c>
      <c r="F3" s="3" t="str">
        <f>IF(D3&lt;20%,"Low",IF(D3&lt;=40%,"Medium","High"))</f>
        <v>High</v>
      </c>
      <c r="G3" s="5">
        <v>-14</v>
      </c>
      <c r="H3" s="5">
        <f t="shared" ref="H3:H66" si="1">IF(G3&lt;0,-G3,G3)</f>
        <v>14</v>
      </c>
      <c r="I3" s="4">
        <v>4.0999999999999996</v>
      </c>
      <c r="J3" t="str">
        <f t="shared" ref="J3:J66" si="2">IF(I3&lt;3,"Poor",IF(I3&lt;=4.4,"Average","Execellent"))</f>
        <v>Average</v>
      </c>
    </row>
    <row r="4" spans="1:10" x14ac:dyDescent="0.45">
      <c r="A4" s="2" t="s">
        <v>7</v>
      </c>
      <c r="B4" s="32">
        <v>2199</v>
      </c>
      <c r="C4" s="32">
        <v>2923</v>
      </c>
      <c r="D4" s="1">
        <v>0.25</v>
      </c>
      <c r="E4" s="5">
        <f t="shared" si="0"/>
        <v>724</v>
      </c>
      <c r="F4" s="3" t="str">
        <f t="shared" ref="F4:F66" si="3">IF(D4&lt;20%,"Low",IF(D4&lt;=40%,"Medium","High"))</f>
        <v>Medium</v>
      </c>
      <c r="G4" s="5">
        <v>-24</v>
      </c>
      <c r="H4" s="5">
        <f t="shared" si="1"/>
        <v>24</v>
      </c>
      <c r="I4" s="4">
        <v>4.5999999999999996</v>
      </c>
      <c r="J4" t="str">
        <f t="shared" si="2"/>
        <v>Execellent</v>
      </c>
    </row>
    <row r="5" spans="1:10" x14ac:dyDescent="0.45">
      <c r="A5" s="2" t="s">
        <v>8</v>
      </c>
      <c r="B5" s="32">
        <v>1580</v>
      </c>
      <c r="C5" s="32">
        <v>2499</v>
      </c>
      <c r="D5" s="1">
        <v>0.37</v>
      </c>
      <c r="E5" s="5">
        <f t="shared" si="0"/>
        <v>919</v>
      </c>
      <c r="F5" s="3" t="str">
        <f t="shared" si="3"/>
        <v>Medium</v>
      </c>
      <c r="G5" s="5">
        <v>-7</v>
      </c>
      <c r="H5" s="5">
        <f t="shared" si="1"/>
        <v>7</v>
      </c>
      <c r="I5" s="4">
        <v>4.7</v>
      </c>
      <c r="J5" t="str">
        <f t="shared" si="2"/>
        <v>Execellent</v>
      </c>
    </row>
    <row r="6" spans="1:10" x14ac:dyDescent="0.45">
      <c r="A6" s="2" t="s">
        <v>9</v>
      </c>
      <c r="B6" s="32">
        <v>1740</v>
      </c>
      <c r="C6" s="32">
        <v>2356</v>
      </c>
      <c r="D6" s="1">
        <v>0.26</v>
      </c>
      <c r="E6" s="5">
        <f t="shared" si="0"/>
        <v>616</v>
      </c>
      <c r="F6" s="3" t="str">
        <f t="shared" si="3"/>
        <v>Medium</v>
      </c>
      <c r="G6" s="5">
        <v>-5</v>
      </c>
      <c r="H6" s="5">
        <f t="shared" si="1"/>
        <v>5</v>
      </c>
      <c r="I6" s="4">
        <v>4.8</v>
      </c>
      <c r="J6" t="str">
        <f t="shared" si="2"/>
        <v>Execellent</v>
      </c>
    </row>
    <row r="7" spans="1:10" x14ac:dyDescent="0.45">
      <c r="A7" s="2" t="s">
        <v>10</v>
      </c>
      <c r="B7" s="32">
        <v>2999</v>
      </c>
      <c r="C7" s="32">
        <v>3290</v>
      </c>
      <c r="D7" s="1">
        <v>0.09</v>
      </c>
      <c r="E7" s="5">
        <f t="shared" si="0"/>
        <v>291</v>
      </c>
      <c r="F7" s="3" t="str">
        <f t="shared" si="3"/>
        <v>Low</v>
      </c>
      <c r="G7" s="5">
        <v>-15</v>
      </c>
      <c r="H7" s="5">
        <f t="shared" si="1"/>
        <v>15</v>
      </c>
      <c r="I7" s="4">
        <v>4</v>
      </c>
      <c r="J7" t="str">
        <f t="shared" si="2"/>
        <v>Average</v>
      </c>
    </row>
    <row r="8" spans="1:10" x14ac:dyDescent="0.45">
      <c r="A8" s="2" t="s">
        <v>11</v>
      </c>
      <c r="B8" s="32">
        <v>2319</v>
      </c>
      <c r="C8" s="32">
        <v>3032</v>
      </c>
      <c r="D8" s="1">
        <v>0.24</v>
      </c>
      <c r="E8" s="5">
        <f t="shared" si="0"/>
        <v>713</v>
      </c>
      <c r="F8" s="3" t="str">
        <f t="shared" si="3"/>
        <v>Medium</v>
      </c>
      <c r="G8" s="5">
        <v>-55</v>
      </c>
      <c r="H8" s="5">
        <f t="shared" si="1"/>
        <v>55</v>
      </c>
      <c r="I8" s="4">
        <v>4.5999999999999996</v>
      </c>
      <c r="J8" t="str">
        <f t="shared" si="2"/>
        <v>Execellent</v>
      </c>
    </row>
    <row r="9" spans="1:10" x14ac:dyDescent="0.45">
      <c r="A9" s="2" t="s">
        <v>12</v>
      </c>
      <c r="B9" s="32">
        <v>988</v>
      </c>
      <c r="C9" s="32">
        <v>1580</v>
      </c>
      <c r="D9" s="1">
        <v>0.37</v>
      </c>
      <c r="E9" s="5">
        <f t="shared" si="0"/>
        <v>592</v>
      </c>
      <c r="F9" s="3" t="str">
        <f t="shared" si="3"/>
        <v>Medium</v>
      </c>
      <c r="G9" s="5">
        <v>-2</v>
      </c>
      <c r="H9" s="5">
        <f t="shared" si="1"/>
        <v>2</v>
      </c>
      <c r="I9" s="4">
        <v>4</v>
      </c>
      <c r="J9" t="str">
        <f t="shared" si="2"/>
        <v>Average</v>
      </c>
    </row>
    <row r="10" spans="1:10" x14ac:dyDescent="0.45">
      <c r="A10" s="2" t="s">
        <v>13</v>
      </c>
      <c r="B10" s="32">
        <v>1274</v>
      </c>
      <c r="C10" s="32">
        <v>2800</v>
      </c>
      <c r="D10" s="1">
        <v>0.55000000000000004</v>
      </c>
      <c r="E10" s="5">
        <f t="shared" si="0"/>
        <v>1526</v>
      </c>
      <c r="F10" s="3" t="str">
        <f t="shared" si="3"/>
        <v>High</v>
      </c>
      <c r="G10" s="5">
        <v>-5</v>
      </c>
      <c r="H10" s="5">
        <f t="shared" si="1"/>
        <v>5</v>
      </c>
      <c r="I10" s="4">
        <v>4.8</v>
      </c>
      <c r="J10" t="str">
        <f t="shared" si="2"/>
        <v>Execellent</v>
      </c>
    </row>
    <row r="11" spans="1:10" x14ac:dyDescent="0.45">
      <c r="A11" s="2" t="s">
        <v>14</v>
      </c>
      <c r="B11" s="32">
        <v>1600</v>
      </c>
      <c r="C11" s="32">
        <v>2929</v>
      </c>
      <c r="D11" s="1">
        <v>0.45</v>
      </c>
      <c r="E11" s="5">
        <f t="shared" si="0"/>
        <v>1329</v>
      </c>
      <c r="F11" s="3" t="str">
        <f t="shared" si="3"/>
        <v>High</v>
      </c>
      <c r="G11" s="5">
        <v>-5</v>
      </c>
      <c r="H11" s="5">
        <f t="shared" si="1"/>
        <v>5</v>
      </c>
      <c r="I11" s="4">
        <v>3.8</v>
      </c>
      <c r="J11" t="str">
        <f t="shared" si="2"/>
        <v>Average</v>
      </c>
    </row>
    <row r="12" spans="1:10" x14ac:dyDescent="0.45">
      <c r="A12" s="2" t="s">
        <v>15</v>
      </c>
      <c r="B12" s="32">
        <v>799</v>
      </c>
      <c r="C12" s="32">
        <v>999</v>
      </c>
      <c r="D12" s="1">
        <v>0.2</v>
      </c>
      <c r="E12" s="5">
        <f t="shared" si="0"/>
        <v>200</v>
      </c>
      <c r="F12" s="3" t="str">
        <f t="shared" si="3"/>
        <v>Medium</v>
      </c>
      <c r="G12" s="5">
        <v>-12</v>
      </c>
      <c r="H12" s="5">
        <f t="shared" si="1"/>
        <v>12</v>
      </c>
      <c r="I12" s="4">
        <v>4.0999999999999996</v>
      </c>
      <c r="J12" t="str">
        <f t="shared" si="2"/>
        <v>Average</v>
      </c>
    </row>
    <row r="13" spans="1:10" x14ac:dyDescent="0.45">
      <c r="A13" s="2" t="s">
        <v>16</v>
      </c>
      <c r="B13" s="32">
        <v>990</v>
      </c>
      <c r="C13" s="32">
        <v>1500</v>
      </c>
      <c r="D13" s="1">
        <v>0.34</v>
      </c>
      <c r="E13" s="5">
        <f t="shared" si="0"/>
        <v>510</v>
      </c>
      <c r="F13" s="3" t="str">
        <f t="shared" si="3"/>
        <v>Medium</v>
      </c>
      <c r="G13" s="5">
        <v>-39</v>
      </c>
      <c r="H13" s="5">
        <f t="shared" si="1"/>
        <v>39</v>
      </c>
      <c r="I13" s="4">
        <v>4.7</v>
      </c>
      <c r="J13" t="str">
        <f t="shared" si="2"/>
        <v>Execellent</v>
      </c>
    </row>
    <row r="14" spans="1:10" x14ac:dyDescent="0.45">
      <c r="A14" s="2" t="s">
        <v>17</v>
      </c>
      <c r="B14" s="32">
        <v>552</v>
      </c>
      <c r="C14" s="32">
        <v>1035</v>
      </c>
      <c r="D14" s="1">
        <v>0.47</v>
      </c>
      <c r="E14" s="5">
        <f t="shared" si="0"/>
        <v>483</v>
      </c>
      <c r="F14" s="3" t="str">
        <f t="shared" si="3"/>
        <v>High</v>
      </c>
      <c r="G14" s="5">
        <v>-12</v>
      </c>
      <c r="H14" s="5">
        <f t="shared" si="1"/>
        <v>12</v>
      </c>
      <c r="I14" s="4">
        <v>4.8</v>
      </c>
      <c r="J14" t="str">
        <f t="shared" si="2"/>
        <v>Execellent</v>
      </c>
    </row>
    <row r="15" spans="1:10" x14ac:dyDescent="0.45">
      <c r="A15" s="2" t="s">
        <v>18</v>
      </c>
      <c r="B15" s="32">
        <v>501</v>
      </c>
      <c r="C15" s="32">
        <v>860</v>
      </c>
      <c r="D15" s="1">
        <v>0.42</v>
      </c>
      <c r="E15" s="5">
        <f t="shared" si="0"/>
        <v>359</v>
      </c>
      <c r="F15" s="3" t="str">
        <f t="shared" si="3"/>
        <v>High</v>
      </c>
      <c r="G15" s="5">
        <v>-6</v>
      </c>
      <c r="H15" s="5">
        <f t="shared" si="1"/>
        <v>6</v>
      </c>
      <c r="I15" s="4">
        <v>4.5</v>
      </c>
      <c r="J15" t="str">
        <f t="shared" si="2"/>
        <v>Execellent</v>
      </c>
    </row>
    <row r="16" spans="1:10" x14ac:dyDescent="0.45">
      <c r="A16" s="2" t="s">
        <v>19</v>
      </c>
      <c r="B16" s="32">
        <v>1680</v>
      </c>
      <c r="C16" s="32">
        <v>2499</v>
      </c>
      <c r="D16" s="1">
        <v>0.33</v>
      </c>
      <c r="E16" s="5">
        <f t="shared" si="0"/>
        <v>819</v>
      </c>
      <c r="F16" s="3" t="str">
        <f t="shared" si="3"/>
        <v>Medium</v>
      </c>
      <c r="G16" s="5">
        <v>-9</v>
      </c>
      <c r="H16" s="5">
        <f t="shared" si="1"/>
        <v>9</v>
      </c>
      <c r="I16" s="4">
        <v>4.2</v>
      </c>
      <c r="J16" t="str">
        <f t="shared" si="2"/>
        <v>Average</v>
      </c>
    </row>
    <row r="17" spans="1:10" x14ac:dyDescent="0.45">
      <c r="A17" s="2" t="s">
        <v>20</v>
      </c>
      <c r="B17" s="32">
        <v>332</v>
      </c>
      <c r="C17" s="32">
        <v>684</v>
      </c>
      <c r="D17" s="1">
        <v>0.51</v>
      </c>
      <c r="E17" s="5">
        <f t="shared" si="0"/>
        <v>352</v>
      </c>
      <c r="F17" s="3" t="str">
        <f t="shared" si="3"/>
        <v>High</v>
      </c>
      <c r="G17" s="5">
        <v>-2</v>
      </c>
      <c r="H17" s="5">
        <f t="shared" si="1"/>
        <v>2</v>
      </c>
      <c r="I17" s="4">
        <v>5</v>
      </c>
      <c r="J17" t="str">
        <f t="shared" si="2"/>
        <v>Execellent</v>
      </c>
    </row>
    <row r="18" spans="1:10" x14ac:dyDescent="0.45">
      <c r="A18" s="2" t="s">
        <v>21</v>
      </c>
      <c r="B18" s="32">
        <v>195</v>
      </c>
      <c r="C18" s="32">
        <v>360</v>
      </c>
      <c r="D18" s="1">
        <v>0.46</v>
      </c>
      <c r="E18" s="5">
        <f t="shared" si="0"/>
        <v>165</v>
      </c>
      <c r="F18" s="3" t="str">
        <f t="shared" si="3"/>
        <v>High</v>
      </c>
      <c r="G18" s="5">
        <v>-2</v>
      </c>
      <c r="H18" s="5">
        <f t="shared" si="1"/>
        <v>2</v>
      </c>
      <c r="I18" s="4">
        <v>5</v>
      </c>
      <c r="J18" t="str">
        <f t="shared" si="2"/>
        <v>Execellent</v>
      </c>
    </row>
    <row r="19" spans="1:10" x14ac:dyDescent="0.45">
      <c r="A19" s="2" t="s">
        <v>22</v>
      </c>
      <c r="B19" s="32">
        <v>2025</v>
      </c>
      <c r="C19" s="32">
        <v>3971</v>
      </c>
      <c r="D19" s="1">
        <v>0.49</v>
      </c>
      <c r="E19" s="5">
        <f t="shared" si="0"/>
        <v>1946</v>
      </c>
      <c r="F19" s="3" t="str">
        <f t="shared" si="3"/>
        <v>High</v>
      </c>
      <c r="G19" s="5">
        <v>-3</v>
      </c>
      <c r="H19" s="5">
        <f t="shared" si="1"/>
        <v>3</v>
      </c>
      <c r="I19" s="4">
        <v>5</v>
      </c>
      <c r="J19" t="str">
        <f t="shared" si="2"/>
        <v>Execellent</v>
      </c>
    </row>
    <row r="20" spans="1:10" x14ac:dyDescent="0.45">
      <c r="A20" s="2" t="s">
        <v>23</v>
      </c>
      <c r="B20" s="32">
        <v>2999</v>
      </c>
      <c r="C20" s="32">
        <v>3699</v>
      </c>
      <c r="D20" s="1">
        <v>0.19</v>
      </c>
      <c r="E20" s="5">
        <f t="shared" si="0"/>
        <v>700</v>
      </c>
      <c r="F20" s="3" t="str">
        <f t="shared" si="3"/>
        <v>Low</v>
      </c>
      <c r="G20" s="5">
        <v>-5</v>
      </c>
      <c r="H20" s="5">
        <f t="shared" si="1"/>
        <v>5</v>
      </c>
      <c r="I20" s="4">
        <v>4.5999999999999996</v>
      </c>
      <c r="J20" t="str">
        <f t="shared" si="2"/>
        <v>Execellent</v>
      </c>
    </row>
    <row r="21" spans="1:10" x14ac:dyDescent="0.45">
      <c r="A21" s="2" t="s">
        <v>24</v>
      </c>
      <c r="B21" s="32">
        <v>998</v>
      </c>
      <c r="C21" s="32">
        <v>1966</v>
      </c>
      <c r="D21" s="1">
        <v>0.49</v>
      </c>
      <c r="E21" s="5">
        <f t="shared" si="0"/>
        <v>968</v>
      </c>
      <c r="F21" s="3" t="str">
        <f t="shared" si="3"/>
        <v>High</v>
      </c>
      <c r="G21" s="5">
        <v>-44</v>
      </c>
      <c r="H21" s="5">
        <f t="shared" si="1"/>
        <v>44</v>
      </c>
      <c r="I21" s="4">
        <v>4.5999999999999996</v>
      </c>
      <c r="J21" t="str">
        <f t="shared" si="2"/>
        <v>Execellent</v>
      </c>
    </row>
    <row r="22" spans="1:10" s="22" customFormat="1" x14ac:dyDescent="0.45">
      <c r="A22" s="18" t="s">
        <v>25</v>
      </c>
      <c r="B22" s="33">
        <v>38</v>
      </c>
      <c r="C22" s="33">
        <v>80</v>
      </c>
      <c r="D22" s="26">
        <v>0.53</v>
      </c>
      <c r="E22" s="19">
        <f t="shared" si="0"/>
        <v>42</v>
      </c>
      <c r="F22" s="20" t="str">
        <f t="shared" si="3"/>
        <v>High</v>
      </c>
      <c r="G22" s="19">
        <v>-13</v>
      </c>
      <c r="H22" s="19">
        <f t="shared" si="1"/>
        <v>13</v>
      </c>
      <c r="I22" s="21">
        <v>3.3</v>
      </c>
      <c r="J22" s="22" t="str">
        <f t="shared" si="2"/>
        <v>Average</v>
      </c>
    </row>
    <row r="23" spans="1:10" x14ac:dyDescent="0.45">
      <c r="A23" s="2" t="s">
        <v>26</v>
      </c>
      <c r="B23" s="32">
        <v>1860</v>
      </c>
      <c r="C23" s="32">
        <v>3220</v>
      </c>
      <c r="D23" s="1">
        <v>0.42</v>
      </c>
      <c r="E23" s="5">
        <f>C23-B23</f>
        <v>1360</v>
      </c>
      <c r="F23" s="3" t="str">
        <f t="shared" si="3"/>
        <v>High</v>
      </c>
      <c r="G23" s="5">
        <v>0</v>
      </c>
      <c r="H23" s="5">
        <f t="shared" si="1"/>
        <v>0</v>
      </c>
      <c r="I23" s="4">
        <v>3.3</v>
      </c>
      <c r="J23" t="str">
        <f t="shared" si="2"/>
        <v>Average</v>
      </c>
    </row>
    <row r="24" spans="1:10" x14ac:dyDescent="0.45">
      <c r="A24" s="2" t="s">
        <v>27</v>
      </c>
      <c r="B24" s="32">
        <v>880</v>
      </c>
      <c r="C24" s="32">
        <v>1350</v>
      </c>
      <c r="D24" s="1">
        <v>0.35</v>
      </c>
      <c r="E24" s="5">
        <f t="shared" ref="E24:E30" si="4">C24-B24</f>
        <v>470</v>
      </c>
      <c r="F24" s="3" t="str">
        <f t="shared" si="3"/>
        <v>Medium</v>
      </c>
      <c r="G24" s="5">
        <v>-6</v>
      </c>
      <c r="H24" s="5">
        <f t="shared" si="1"/>
        <v>6</v>
      </c>
      <c r="I24" s="4">
        <v>4</v>
      </c>
      <c r="J24" t="str">
        <f t="shared" si="2"/>
        <v>Average</v>
      </c>
    </row>
    <row r="25" spans="1:10" x14ac:dyDescent="0.45">
      <c r="A25" s="2" t="s">
        <v>28</v>
      </c>
      <c r="B25" s="32">
        <v>1650</v>
      </c>
      <c r="C25" s="32">
        <v>2150</v>
      </c>
      <c r="D25" s="1">
        <v>0.23</v>
      </c>
      <c r="E25" s="5">
        <f t="shared" si="4"/>
        <v>500</v>
      </c>
      <c r="F25" s="3" t="str">
        <f t="shared" si="3"/>
        <v>Medium</v>
      </c>
      <c r="G25" s="5">
        <v>-14</v>
      </c>
      <c r="H25" s="5">
        <f t="shared" si="1"/>
        <v>14</v>
      </c>
      <c r="I25" s="4">
        <v>4.4000000000000004</v>
      </c>
      <c r="J25" t="str">
        <f t="shared" si="2"/>
        <v>Average</v>
      </c>
    </row>
    <row r="26" spans="1:10" x14ac:dyDescent="0.45">
      <c r="A26" s="2" t="s">
        <v>29</v>
      </c>
      <c r="B26" s="32">
        <v>2048</v>
      </c>
      <c r="C26" s="32">
        <v>4500</v>
      </c>
      <c r="D26" s="1">
        <v>0.54</v>
      </c>
      <c r="E26" s="5">
        <f t="shared" si="4"/>
        <v>2452</v>
      </c>
      <c r="F26" s="3" t="str">
        <f t="shared" si="3"/>
        <v>High</v>
      </c>
      <c r="G26" s="5">
        <v>-7</v>
      </c>
      <c r="H26" s="5">
        <f t="shared" si="1"/>
        <v>7</v>
      </c>
      <c r="I26" s="4">
        <v>4.3</v>
      </c>
      <c r="J26" t="str">
        <f t="shared" si="2"/>
        <v>Average</v>
      </c>
    </row>
    <row r="27" spans="1:10" x14ac:dyDescent="0.45">
      <c r="A27" s="2" t="s">
        <v>30</v>
      </c>
      <c r="B27" s="32">
        <v>420</v>
      </c>
      <c r="C27" s="32">
        <v>647</v>
      </c>
      <c r="D27" s="1">
        <v>0.35</v>
      </c>
      <c r="E27" s="5">
        <f t="shared" si="4"/>
        <v>227</v>
      </c>
      <c r="F27" s="3" t="str">
        <f t="shared" si="3"/>
        <v>Medium</v>
      </c>
      <c r="G27" s="5">
        <v>-49</v>
      </c>
      <c r="H27" s="5">
        <f t="shared" si="1"/>
        <v>49</v>
      </c>
      <c r="I27" s="4">
        <v>4.5999999999999996</v>
      </c>
      <c r="J27" t="str">
        <f t="shared" si="2"/>
        <v>Execellent</v>
      </c>
    </row>
    <row r="28" spans="1:10" x14ac:dyDescent="0.45">
      <c r="A28" s="2" t="s">
        <v>31</v>
      </c>
      <c r="B28" s="32">
        <v>2880</v>
      </c>
      <c r="C28" s="32">
        <v>3520</v>
      </c>
      <c r="D28" s="1">
        <v>0.18</v>
      </c>
      <c r="E28" s="5">
        <f t="shared" si="4"/>
        <v>640</v>
      </c>
      <c r="F28" s="3" t="str">
        <f t="shared" si="3"/>
        <v>Low</v>
      </c>
      <c r="G28" s="5">
        <v>-12</v>
      </c>
      <c r="H28" s="5">
        <f t="shared" si="1"/>
        <v>12</v>
      </c>
      <c r="I28" s="4">
        <v>3.8</v>
      </c>
      <c r="J28" t="str">
        <f t="shared" si="2"/>
        <v>Average</v>
      </c>
    </row>
    <row r="29" spans="1:10" x14ac:dyDescent="0.45">
      <c r="A29" s="2" t="s">
        <v>32</v>
      </c>
      <c r="B29" s="32">
        <v>1350</v>
      </c>
      <c r="C29" s="32">
        <v>1990</v>
      </c>
      <c r="D29" s="1">
        <v>0.32</v>
      </c>
      <c r="E29" s="5">
        <f t="shared" si="4"/>
        <v>640</v>
      </c>
      <c r="F29" s="3" t="str">
        <f t="shared" si="3"/>
        <v>Medium</v>
      </c>
      <c r="G29" s="5">
        <v>-13</v>
      </c>
      <c r="H29" s="5">
        <f t="shared" si="1"/>
        <v>13</v>
      </c>
      <c r="I29" s="4">
        <v>3.8</v>
      </c>
      <c r="J29" t="str">
        <f t="shared" si="2"/>
        <v>Average</v>
      </c>
    </row>
    <row r="30" spans="1:10" x14ac:dyDescent="0.45">
      <c r="A30" s="2" t="s">
        <v>33</v>
      </c>
      <c r="B30" s="32">
        <v>1758</v>
      </c>
      <c r="C30" s="32">
        <v>2499</v>
      </c>
      <c r="D30" s="1">
        <v>0.3</v>
      </c>
      <c r="E30" s="5">
        <f t="shared" si="4"/>
        <v>741</v>
      </c>
      <c r="F30" s="3" t="str">
        <f t="shared" si="3"/>
        <v>Medium</v>
      </c>
      <c r="G30" s="5">
        <v>-20</v>
      </c>
      <c r="H30" s="5">
        <f t="shared" si="1"/>
        <v>20</v>
      </c>
      <c r="I30" s="4">
        <v>4.0999999999999996</v>
      </c>
      <c r="J30" t="str">
        <f t="shared" si="2"/>
        <v>Average</v>
      </c>
    </row>
    <row r="31" spans="1:10" x14ac:dyDescent="0.45">
      <c r="A31" s="2" t="s">
        <v>34</v>
      </c>
      <c r="B31" s="32">
        <v>2200</v>
      </c>
      <c r="C31" s="32">
        <v>4080</v>
      </c>
      <c r="D31" s="1">
        <v>0.46</v>
      </c>
      <c r="E31" s="5">
        <f>C31-B31</f>
        <v>1880</v>
      </c>
      <c r="F31" s="3" t="str">
        <f t="shared" si="3"/>
        <v>High</v>
      </c>
      <c r="G31" s="5">
        <v>0</v>
      </c>
      <c r="H31" s="5">
        <f t="shared" si="1"/>
        <v>0</v>
      </c>
      <c r="I31" s="11">
        <v>3.8</v>
      </c>
      <c r="J31" t="str">
        <f t="shared" si="2"/>
        <v>Average</v>
      </c>
    </row>
    <row r="32" spans="1:10" x14ac:dyDescent="0.45">
      <c r="A32" s="2" t="s">
        <v>35</v>
      </c>
      <c r="B32" s="32">
        <v>185</v>
      </c>
      <c r="C32" s="32">
        <v>382</v>
      </c>
      <c r="D32" s="1">
        <v>0.52</v>
      </c>
      <c r="E32" s="5">
        <f t="shared" ref="E32:E40" si="5">C32-B32</f>
        <v>197</v>
      </c>
      <c r="F32" s="3" t="str">
        <f t="shared" si="3"/>
        <v>High</v>
      </c>
      <c r="G32" s="5">
        <v>-9</v>
      </c>
      <c r="H32" s="5">
        <f t="shared" si="1"/>
        <v>9</v>
      </c>
      <c r="I32" s="4">
        <v>4.3</v>
      </c>
      <c r="J32" t="str">
        <f t="shared" si="2"/>
        <v>Average</v>
      </c>
    </row>
    <row r="33" spans="1:10" x14ac:dyDescent="0.45">
      <c r="A33" s="2" t="s">
        <v>36</v>
      </c>
      <c r="B33" s="32">
        <v>980</v>
      </c>
      <c r="C33" s="32">
        <v>1490</v>
      </c>
      <c r="D33" s="1">
        <v>0.34</v>
      </c>
      <c r="E33" s="5">
        <f t="shared" si="5"/>
        <v>510</v>
      </c>
      <c r="F33" s="3" t="str">
        <f t="shared" si="3"/>
        <v>Medium</v>
      </c>
      <c r="G33" s="5">
        <v>-12</v>
      </c>
      <c r="H33" s="5">
        <f t="shared" si="1"/>
        <v>12</v>
      </c>
      <c r="I33" s="4">
        <v>4.7</v>
      </c>
      <c r="J33" t="str">
        <f t="shared" si="2"/>
        <v>Execellent</v>
      </c>
    </row>
    <row r="34" spans="1:10" x14ac:dyDescent="0.45">
      <c r="A34" s="2" t="s">
        <v>37</v>
      </c>
      <c r="B34" s="32">
        <v>1820</v>
      </c>
      <c r="C34" s="32">
        <v>3490</v>
      </c>
      <c r="D34" s="1">
        <v>0.48</v>
      </c>
      <c r="E34" s="5">
        <f t="shared" si="5"/>
        <v>1670</v>
      </c>
      <c r="F34" s="3" t="str">
        <f t="shared" si="3"/>
        <v>High</v>
      </c>
      <c r="G34" s="5">
        <v>-9</v>
      </c>
      <c r="H34" s="5">
        <f t="shared" si="1"/>
        <v>9</v>
      </c>
      <c r="I34" s="4">
        <v>4.3</v>
      </c>
      <c r="J34" t="str">
        <f t="shared" si="2"/>
        <v>Average</v>
      </c>
    </row>
    <row r="35" spans="1:10" x14ac:dyDescent="0.45">
      <c r="A35" s="2" t="s">
        <v>38</v>
      </c>
      <c r="B35" s="32">
        <v>1940</v>
      </c>
      <c r="C35" s="32">
        <v>2650</v>
      </c>
      <c r="D35" s="1">
        <v>0.27</v>
      </c>
      <c r="E35" s="5">
        <f t="shared" si="5"/>
        <v>710</v>
      </c>
      <c r="F35" s="3" t="str">
        <f t="shared" si="3"/>
        <v>Medium</v>
      </c>
      <c r="G35" s="5">
        <v>-20</v>
      </c>
      <c r="H35" s="5">
        <f t="shared" si="1"/>
        <v>20</v>
      </c>
      <c r="I35" s="4">
        <v>4.7</v>
      </c>
      <c r="J35" t="str">
        <f t="shared" si="2"/>
        <v>Execellent</v>
      </c>
    </row>
    <row r="36" spans="1:10" x14ac:dyDescent="0.45">
      <c r="A36" s="2" t="s">
        <v>39</v>
      </c>
      <c r="B36" s="32">
        <v>1980</v>
      </c>
      <c r="C36" s="32">
        <v>2699</v>
      </c>
      <c r="D36" s="1">
        <v>0.27</v>
      </c>
      <c r="E36" s="5">
        <f t="shared" si="5"/>
        <v>719</v>
      </c>
      <c r="F36" s="3" t="str">
        <f t="shared" si="3"/>
        <v>Medium</v>
      </c>
      <c r="G36" s="5">
        <v>-32</v>
      </c>
      <c r="H36" s="5">
        <f t="shared" si="1"/>
        <v>32</v>
      </c>
      <c r="I36" s="4">
        <v>4.5</v>
      </c>
      <c r="J36" t="str">
        <f t="shared" si="2"/>
        <v>Execellent</v>
      </c>
    </row>
    <row r="37" spans="1:10" x14ac:dyDescent="0.45">
      <c r="A37" s="2" t="s">
        <v>40</v>
      </c>
      <c r="B37" s="32">
        <v>1620</v>
      </c>
      <c r="C37" s="32">
        <v>2690</v>
      </c>
      <c r="D37" s="1">
        <v>0.4</v>
      </c>
      <c r="E37" s="5">
        <f t="shared" si="5"/>
        <v>1070</v>
      </c>
      <c r="F37" s="3" t="str">
        <f t="shared" si="3"/>
        <v>Medium</v>
      </c>
      <c r="G37" s="5">
        <v>-1</v>
      </c>
      <c r="H37" s="5">
        <f t="shared" si="1"/>
        <v>1</v>
      </c>
      <c r="I37" s="4">
        <v>5</v>
      </c>
      <c r="J37" t="str">
        <f t="shared" si="2"/>
        <v>Execellent</v>
      </c>
    </row>
    <row r="38" spans="1:10" x14ac:dyDescent="0.45">
      <c r="A38" s="2" t="s">
        <v>41</v>
      </c>
      <c r="B38" s="32">
        <v>171</v>
      </c>
      <c r="C38" s="32">
        <v>360</v>
      </c>
      <c r="D38" s="1">
        <v>0.53</v>
      </c>
      <c r="E38" s="5">
        <f t="shared" si="5"/>
        <v>189</v>
      </c>
      <c r="F38" s="3" t="str">
        <f t="shared" si="3"/>
        <v>High</v>
      </c>
      <c r="G38" s="5">
        <v>-2</v>
      </c>
      <c r="H38" s="5">
        <f t="shared" si="1"/>
        <v>2</v>
      </c>
      <c r="I38" s="4">
        <v>5</v>
      </c>
      <c r="J38" t="str">
        <f t="shared" si="2"/>
        <v>Execellent</v>
      </c>
    </row>
    <row r="39" spans="1:10" x14ac:dyDescent="0.45">
      <c r="A39" s="2" t="s">
        <v>42</v>
      </c>
      <c r="B39" s="32">
        <v>389</v>
      </c>
      <c r="C39" s="32">
        <v>656</v>
      </c>
      <c r="D39" s="1">
        <v>0.41</v>
      </c>
      <c r="E39" s="5">
        <f t="shared" si="5"/>
        <v>267</v>
      </c>
      <c r="F39" s="3" t="str">
        <f t="shared" si="3"/>
        <v>High</v>
      </c>
      <c r="G39" s="5">
        <v>-36</v>
      </c>
      <c r="H39" s="5">
        <f t="shared" si="1"/>
        <v>36</v>
      </c>
      <c r="I39" s="4">
        <v>4.3</v>
      </c>
      <c r="J39" t="str">
        <f t="shared" si="2"/>
        <v>Average</v>
      </c>
    </row>
    <row r="40" spans="1:10" x14ac:dyDescent="0.45">
      <c r="A40" s="2" t="s">
        <v>43</v>
      </c>
      <c r="B40" s="32">
        <v>1800</v>
      </c>
      <c r="C40" s="32">
        <v>2700</v>
      </c>
      <c r="D40" s="1">
        <v>0.38</v>
      </c>
      <c r="E40" s="5">
        <f t="shared" si="5"/>
        <v>900</v>
      </c>
      <c r="F40" s="3" t="str">
        <f t="shared" si="3"/>
        <v>Medium</v>
      </c>
      <c r="G40" s="5">
        <v>-2</v>
      </c>
      <c r="H40" s="5">
        <f t="shared" si="1"/>
        <v>2</v>
      </c>
      <c r="I40" s="4">
        <v>4.5</v>
      </c>
      <c r="J40" t="str">
        <f t="shared" si="2"/>
        <v>Execellent</v>
      </c>
    </row>
    <row r="41" spans="1:10" x14ac:dyDescent="0.45">
      <c r="A41" s="2" t="s">
        <v>44</v>
      </c>
      <c r="B41" s="32">
        <v>2750</v>
      </c>
      <c r="C41" s="32">
        <v>4471</v>
      </c>
      <c r="D41" s="1">
        <v>0.38</v>
      </c>
      <c r="E41" s="5">
        <f t="shared" ref="E41:E74" si="6">C41-B41</f>
        <v>1721</v>
      </c>
      <c r="F41" s="3" t="str">
        <f t="shared" si="3"/>
        <v>Medium</v>
      </c>
      <c r="G41" s="5">
        <v>0</v>
      </c>
      <c r="H41" s="5">
        <f t="shared" si="1"/>
        <v>0</v>
      </c>
      <c r="I41" s="11">
        <v>3.8</v>
      </c>
      <c r="J41" t="str">
        <f t="shared" si="2"/>
        <v>Average</v>
      </c>
    </row>
    <row r="42" spans="1:10" x14ac:dyDescent="0.45">
      <c r="A42" s="2" t="s">
        <v>45</v>
      </c>
      <c r="B42" s="32">
        <v>475</v>
      </c>
      <c r="C42" s="32">
        <v>931</v>
      </c>
      <c r="D42" s="1">
        <v>0.49</v>
      </c>
      <c r="E42" s="5">
        <f t="shared" si="6"/>
        <v>456</v>
      </c>
      <c r="F42" s="3" t="str">
        <f t="shared" si="3"/>
        <v>High</v>
      </c>
      <c r="G42" s="5">
        <v>0</v>
      </c>
      <c r="H42" s="5">
        <f t="shared" si="1"/>
        <v>0</v>
      </c>
      <c r="I42" s="11">
        <v>3.8</v>
      </c>
      <c r="J42" t="str">
        <f t="shared" si="2"/>
        <v>Average</v>
      </c>
    </row>
    <row r="43" spans="1:10" x14ac:dyDescent="0.45">
      <c r="A43" s="2" t="s">
        <v>46</v>
      </c>
      <c r="B43" s="32">
        <v>238</v>
      </c>
      <c r="C43" s="32">
        <v>476</v>
      </c>
      <c r="D43" s="1">
        <v>0.5</v>
      </c>
      <c r="E43" s="5">
        <f t="shared" si="6"/>
        <v>238</v>
      </c>
      <c r="F43" s="3" t="str">
        <f t="shared" si="3"/>
        <v>High</v>
      </c>
      <c r="G43" s="5">
        <v>0</v>
      </c>
      <c r="H43" s="5">
        <f t="shared" si="1"/>
        <v>0</v>
      </c>
      <c r="I43" s="11">
        <v>3.8</v>
      </c>
      <c r="J43" t="str">
        <f t="shared" si="2"/>
        <v>Average</v>
      </c>
    </row>
    <row r="44" spans="1:10" x14ac:dyDescent="0.45">
      <c r="A44" s="2" t="s">
        <v>47</v>
      </c>
      <c r="B44" s="32">
        <v>610</v>
      </c>
      <c r="C44" s="32">
        <v>1060</v>
      </c>
      <c r="D44" s="1">
        <v>0.42</v>
      </c>
      <c r="E44" s="5">
        <f t="shared" si="6"/>
        <v>450</v>
      </c>
      <c r="F44" s="3" t="str">
        <f t="shared" si="3"/>
        <v>High</v>
      </c>
      <c r="G44" s="5">
        <v>0</v>
      </c>
      <c r="H44" s="5">
        <f t="shared" si="1"/>
        <v>0</v>
      </c>
      <c r="I44" s="11">
        <v>3.8</v>
      </c>
      <c r="J44" t="str">
        <f t="shared" si="2"/>
        <v>Average</v>
      </c>
    </row>
    <row r="45" spans="1:10" x14ac:dyDescent="0.45">
      <c r="A45" s="2" t="s">
        <v>48</v>
      </c>
      <c r="B45" s="32">
        <v>2132</v>
      </c>
      <c r="C45" s="32">
        <v>2169</v>
      </c>
      <c r="D45" s="1">
        <v>0.02</v>
      </c>
      <c r="E45" s="5">
        <f t="shared" si="6"/>
        <v>37</v>
      </c>
      <c r="F45" s="3" t="str">
        <f t="shared" si="3"/>
        <v>Low</v>
      </c>
      <c r="G45" s="5">
        <v>0</v>
      </c>
      <c r="H45" s="5">
        <f t="shared" si="1"/>
        <v>0</v>
      </c>
      <c r="I45" s="11">
        <v>3.8</v>
      </c>
      <c r="J45" t="str">
        <f t="shared" si="2"/>
        <v>Average</v>
      </c>
    </row>
    <row r="46" spans="1:10" x14ac:dyDescent="0.45">
      <c r="A46" s="2" t="s">
        <v>49</v>
      </c>
      <c r="B46" s="32">
        <v>999</v>
      </c>
      <c r="C46" s="32">
        <v>2000</v>
      </c>
      <c r="D46" s="1">
        <v>0.5</v>
      </c>
      <c r="E46" s="5">
        <f t="shared" si="6"/>
        <v>1001</v>
      </c>
      <c r="F46" s="3" t="str">
        <f t="shared" si="3"/>
        <v>High</v>
      </c>
      <c r="G46" s="5">
        <v>0</v>
      </c>
      <c r="H46" s="5">
        <f t="shared" si="1"/>
        <v>0</v>
      </c>
      <c r="I46" s="11">
        <v>3.8</v>
      </c>
      <c r="J46" t="str">
        <f t="shared" si="2"/>
        <v>Average</v>
      </c>
    </row>
    <row r="47" spans="1:10" x14ac:dyDescent="0.45">
      <c r="A47" s="2" t="s">
        <v>50</v>
      </c>
      <c r="B47" s="32">
        <v>1190</v>
      </c>
      <c r="C47" s="32">
        <v>1785</v>
      </c>
      <c r="D47" s="1">
        <v>0.33</v>
      </c>
      <c r="E47" s="5">
        <f t="shared" si="6"/>
        <v>595</v>
      </c>
      <c r="F47" s="3" t="str">
        <f t="shared" si="3"/>
        <v>Medium</v>
      </c>
      <c r="G47" s="5">
        <v>0</v>
      </c>
      <c r="H47" s="5">
        <f t="shared" si="1"/>
        <v>0</v>
      </c>
      <c r="I47" s="11">
        <v>3.8</v>
      </c>
      <c r="J47" t="str">
        <f t="shared" si="2"/>
        <v>Average</v>
      </c>
    </row>
    <row r="48" spans="1:10" x14ac:dyDescent="0.45">
      <c r="A48" s="2" t="s">
        <v>51</v>
      </c>
      <c r="B48" s="32">
        <v>671</v>
      </c>
      <c r="C48" s="32">
        <v>1316</v>
      </c>
      <c r="D48" s="1">
        <v>0.49</v>
      </c>
      <c r="E48" s="5">
        <f t="shared" si="6"/>
        <v>645</v>
      </c>
      <c r="F48" s="3" t="str">
        <f t="shared" si="3"/>
        <v>High</v>
      </c>
      <c r="G48" s="5">
        <v>0</v>
      </c>
      <c r="H48" s="5">
        <f t="shared" si="1"/>
        <v>0</v>
      </c>
      <c r="I48" s="11">
        <v>3.8</v>
      </c>
      <c r="J48" t="str">
        <f t="shared" si="2"/>
        <v>Average</v>
      </c>
    </row>
    <row r="49" spans="1:10" x14ac:dyDescent="0.45">
      <c r="A49" s="2" t="s">
        <v>52</v>
      </c>
      <c r="B49" s="32">
        <v>1200</v>
      </c>
      <c r="C49" s="32">
        <v>1950</v>
      </c>
      <c r="D49" s="1">
        <v>0.38</v>
      </c>
      <c r="E49" s="5">
        <f t="shared" si="6"/>
        <v>750</v>
      </c>
      <c r="F49" s="3" t="str">
        <f t="shared" si="3"/>
        <v>Medium</v>
      </c>
      <c r="G49" s="5">
        <v>0</v>
      </c>
      <c r="H49" s="5">
        <f t="shared" si="1"/>
        <v>0</v>
      </c>
      <c r="I49" s="11">
        <v>3.8</v>
      </c>
      <c r="J49" t="str">
        <f t="shared" si="2"/>
        <v>Average</v>
      </c>
    </row>
    <row r="50" spans="1:10" x14ac:dyDescent="0.45">
      <c r="A50" s="2" t="s">
        <v>53</v>
      </c>
      <c r="B50" s="32">
        <v>199</v>
      </c>
      <c r="C50" s="32">
        <v>504</v>
      </c>
      <c r="D50" s="1">
        <v>0.61</v>
      </c>
      <c r="E50" s="5">
        <f t="shared" si="6"/>
        <v>305</v>
      </c>
      <c r="F50" s="3" t="str">
        <f t="shared" si="3"/>
        <v>High</v>
      </c>
      <c r="G50" s="5">
        <v>0</v>
      </c>
      <c r="H50" s="5">
        <f t="shared" si="1"/>
        <v>0</v>
      </c>
      <c r="I50" s="11">
        <v>3.8</v>
      </c>
      <c r="J50" t="str">
        <f t="shared" si="2"/>
        <v>Average</v>
      </c>
    </row>
    <row r="51" spans="1:10" x14ac:dyDescent="0.45">
      <c r="A51" s="2" t="s">
        <v>54</v>
      </c>
      <c r="B51" s="32">
        <v>299</v>
      </c>
      <c r="C51" s="32">
        <v>600</v>
      </c>
      <c r="D51" s="1">
        <v>0.5</v>
      </c>
      <c r="E51" s="5">
        <f t="shared" si="6"/>
        <v>301</v>
      </c>
      <c r="F51" s="3" t="str">
        <f t="shared" si="3"/>
        <v>High</v>
      </c>
      <c r="G51" s="5">
        <v>0</v>
      </c>
      <c r="H51" s="5">
        <f t="shared" si="1"/>
        <v>0</v>
      </c>
      <c r="I51" s="11">
        <v>3.8</v>
      </c>
      <c r="J51" t="str">
        <f t="shared" si="2"/>
        <v>Average</v>
      </c>
    </row>
    <row r="52" spans="1:10" x14ac:dyDescent="0.45">
      <c r="A52" s="2" t="s">
        <v>55</v>
      </c>
      <c r="B52" s="32">
        <v>1660</v>
      </c>
      <c r="C52" s="32">
        <v>1699</v>
      </c>
      <c r="D52" s="1">
        <v>0.02</v>
      </c>
      <c r="E52" s="5">
        <f t="shared" si="6"/>
        <v>39</v>
      </c>
      <c r="F52" s="3" t="str">
        <f t="shared" si="3"/>
        <v>Low</v>
      </c>
      <c r="G52" s="5">
        <v>0</v>
      </c>
      <c r="H52" s="5">
        <f t="shared" si="1"/>
        <v>0</v>
      </c>
      <c r="I52" s="11">
        <v>3.8</v>
      </c>
      <c r="J52" t="str">
        <f t="shared" si="2"/>
        <v>Average</v>
      </c>
    </row>
    <row r="53" spans="1:10" x14ac:dyDescent="0.45">
      <c r="A53" s="2" t="s">
        <v>56</v>
      </c>
      <c r="B53" s="32">
        <v>299</v>
      </c>
      <c r="C53" s="32">
        <v>384</v>
      </c>
      <c r="D53" s="1">
        <v>0.22</v>
      </c>
      <c r="E53" s="5">
        <f t="shared" si="6"/>
        <v>85</v>
      </c>
      <c r="F53" s="3" t="str">
        <f t="shared" si="3"/>
        <v>Medium</v>
      </c>
      <c r="G53" s="5">
        <v>0</v>
      </c>
      <c r="H53" s="5">
        <f t="shared" si="1"/>
        <v>0</v>
      </c>
      <c r="I53" s="11">
        <v>3.8</v>
      </c>
      <c r="J53" t="str">
        <f t="shared" si="2"/>
        <v>Average</v>
      </c>
    </row>
    <row r="54" spans="1:10" x14ac:dyDescent="0.45">
      <c r="A54" s="2" t="s">
        <v>57</v>
      </c>
      <c r="B54" s="32">
        <v>1459</v>
      </c>
      <c r="C54" s="32">
        <v>1499</v>
      </c>
      <c r="D54" s="1">
        <v>0.03</v>
      </c>
      <c r="E54" s="5">
        <f t="shared" si="6"/>
        <v>40</v>
      </c>
      <c r="F54" s="3" t="str">
        <f t="shared" si="3"/>
        <v>Low</v>
      </c>
      <c r="G54" s="5">
        <v>0</v>
      </c>
      <c r="H54" s="5">
        <f t="shared" si="1"/>
        <v>0</v>
      </c>
      <c r="I54" s="11">
        <v>3.8</v>
      </c>
      <c r="J54" t="str">
        <f t="shared" si="2"/>
        <v>Average</v>
      </c>
    </row>
    <row r="55" spans="1:10" x14ac:dyDescent="0.45">
      <c r="A55" s="2" t="s">
        <v>58</v>
      </c>
      <c r="B55" s="32">
        <v>799</v>
      </c>
      <c r="C55" s="32">
        <v>1343</v>
      </c>
      <c r="D55" s="1">
        <v>0.41</v>
      </c>
      <c r="E55" s="5">
        <f t="shared" si="6"/>
        <v>544</v>
      </c>
      <c r="F55" s="3" t="str">
        <f t="shared" si="3"/>
        <v>High</v>
      </c>
      <c r="G55" s="5">
        <v>0</v>
      </c>
      <c r="H55" s="5">
        <f t="shared" si="1"/>
        <v>0</v>
      </c>
      <c r="I55" s="11">
        <v>3.8</v>
      </c>
      <c r="J55" t="str">
        <f t="shared" si="2"/>
        <v>Average</v>
      </c>
    </row>
    <row r="56" spans="1:10" x14ac:dyDescent="0.45">
      <c r="A56" s="2" t="s">
        <v>59</v>
      </c>
      <c r="B56" s="32">
        <v>499</v>
      </c>
      <c r="C56" s="32">
        <v>900</v>
      </c>
      <c r="D56" s="1">
        <v>0.45</v>
      </c>
      <c r="E56" s="5">
        <f t="shared" si="6"/>
        <v>401</v>
      </c>
      <c r="F56" s="3" t="str">
        <f t="shared" si="3"/>
        <v>High</v>
      </c>
      <c r="G56" s="5">
        <v>0</v>
      </c>
      <c r="H56" s="5">
        <f t="shared" si="1"/>
        <v>0</v>
      </c>
      <c r="I56" s="11">
        <v>3.8</v>
      </c>
      <c r="J56" t="str">
        <f t="shared" si="2"/>
        <v>Average</v>
      </c>
    </row>
    <row r="57" spans="1:10" x14ac:dyDescent="0.45">
      <c r="A57" s="2" t="s">
        <v>60</v>
      </c>
      <c r="B57" s="32">
        <v>699</v>
      </c>
      <c r="C57" s="32">
        <v>1343</v>
      </c>
      <c r="D57" s="1">
        <v>0.48</v>
      </c>
      <c r="E57" s="5">
        <f t="shared" si="6"/>
        <v>644</v>
      </c>
      <c r="F57" s="3" t="str">
        <f t="shared" si="3"/>
        <v>High</v>
      </c>
      <c r="G57" s="5">
        <v>0</v>
      </c>
      <c r="H57" s="5">
        <f t="shared" si="1"/>
        <v>0</v>
      </c>
      <c r="I57" s="11">
        <v>3.8</v>
      </c>
      <c r="J57" t="str">
        <f t="shared" si="2"/>
        <v>Average</v>
      </c>
    </row>
    <row r="58" spans="1:10" x14ac:dyDescent="0.45">
      <c r="A58" s="2" t="s">
        <v>61</v>
      </c>
      <c r="B58" s="32">
        <v>799</v>
      </c>
      <c r="C58" s="32">
        <v>1567</v>
      </c>
      <c r="D58" s="1">
        <v>0.49</v>
      </c>
      <c r="E58" s="5">
        <f t="shared" si="6"/>
        <v>768</v>
      </c>
      <c r="F58" s="3" t="str">
        <f t="shared" si="3"/>
        <v>High</v>
      </c>
      <c r="G58" s="5">
        <v>0</v>
      </c>
      <c r="H58" s="5">
        <f t="shared" si="1"/>
        <v>0</v>
      </c>
      <c r="I58" s="11">
        <v>3.8</v>
      </c>
      <c r="J58" t="str">
        <f t="shared" si="2"/>
        <v>Average</v>
      </c>
    </row>
    <row r="59" spans="1:10" x14ac:dyDescent="0.45">
      <c r="A59" s="2" t="s">
        <v>62</v>
      </c>
      <c r="B59" s="32">
        <v>2799</v>
      </c>
      <c r="C59" s="32">
        <v>3810</v>
      </c>
      <c r="D59" s="1">
        <v>0.27</v>
      </c>
      <c r="E59" s="5">
        <f t="shared" si="6"/>
        <v>1011</v>
      </c>
      <c r="F59" s="3" t="str">
        <f t="shared" si="3"/>
        <v>Medium</v>
      </c>
      <c r="G59" s="5">
        <v>0</v>
      </c>
      <c r="H59" s="5">
        <f t="shared" si="1"/>
        <v>0</v>
      </c>
      <c r="I59" s="11">
        <v>3.8</v>
      </c>
      <c r="J59" t="str">
        <f t="shared" si="2"/>
        <v>Average</v>
      </c>
    </row>
    <row r="60" spans="1:10" x14ac:dyDescent="0.45">
      <c r="A60" s="2" t="s">
        <v>63</v>
      </c>
      <c r="B60" s="32">
        <v>2170</v>
      </c>
      <c r="C60" s="32">
        <v>2500</v>
      </c>
      <c r="D60" s="1">
        <v>0.13</v>
      </c>
      <c r="E60" s="5">
        <f t="shared" si="6"/>
        <v>330</v>
      </c>
      <c r="F60" s="3" t="str">
        <f t="shared" si="3"/>
        <v>Low</v>
      </c>
      <c r="G60" s="5">
        <v>-6</v>
      </c>
      <c r="H60" s="5">
        <f t="shared" si="1"/>
        <v>6</v>
      </c>
      <c r="I60" s="4">
        <v>2.5</v>
      </c>
      <c r="J60" t="str">
        <f t="shared" si="2"/>
        <v>Poor</v>
      </c>
    </row>
    <row r="61" spans="1:10" x14ac:dyDescent="0.45">
      <c r="A61" s="2" t="s">
        <v>64</v>
      </c>
      <c r="B61" s="32">
        <v>458</v>
      </c>
      <c r="C61" s="32">
        <v>986</v>
      </c>
      <c r="D61" s="1">
        <v>0.54</v>
      </c>
      <c r="E61" s="5">
        <f t="shared" si="6"/>
        <v>528</v>
      </c>
      <c r="F61" s="3" t="str">
        <f t="shared" si="3"/>
        <v>High</v>
      </c>
      <c r="G61" s="5">
        <v>-10</v>
      </c>
      <c r="H61" s="5">
        <f t="shared" si="1"/>
        <v>10</v>
      </c>
      <c r="I61" s="4">
        <v>3</v>
      </c>
      <c r="J61" t="str">
        <f t="shared" si="2"/>
        <v>Average</v>
      </c>
    </row>
    <row r="62" spans="1:10" x14ac:dyDescent="0.45">
      <c r="A62" s="2" t="s">
        <v>65</v>
      </c>
      <c r="B62" s="32">
        <v>2115</v>
      </c>
      <c r="C62" s="32">
        <v>4700</v>
      </c>
      <c r="D62" s="1">
        <v>0.55000000000000004</v>
      </c>
      <c r="E62" s="5">
        <f t="shared" si="6"/>
        <v>2585</v>
      </c>
      <c r="F62" s="3" t="str">
        <f t="shared" si="3"/>
        <v>High</v>
      </c>
      <c r="G62" s="5">
        <v>-13</v>
      </c>
      <c r="H62" s="5">
        <f t="shared" si="1"/>
        <v>13</v>
      </c>
      <c r="I62" s="4">
        <v>2.1</v>
      </c>
      <c r="J62" t="str">
        <f t="shared" si="2"/>
        <v>Poor</v>
      </c>
    </row>
    <row r="63" spans="1:10" x14ac:dyDescent="0.45">
      <c r="A63" s="2" t="s">
        <v>66</v>
      </c>
      <c r="B63" s="32">
        <v>445</v>
      </c>
      <c r="C63" s="32">
        <v>873</v>
      </c>
      <c r="D63" s="1">
        <v>0.49</v>
      </c>
      <c r="E63" s="5">
        <f t="shared" si="6"/>
        <v>428</v>
      </c>
      <c r="F63" s="3" t="str">
        <f t="shared" si="3"/>
        <v>High</v>
      </c>
      <c r="G63" s="5">
        <v>-69</v>
      </c>
      <c r="H63" s="5">
        <f t="shared" si="1"/>
        <v>69</v>
      </c>
      <c r="I63" s="4">
        <v>2.8</v>
      </c>
      <c r="J63" t="str">
        <f t="shared" si="2"/>
        <v>Poor</v>
      </c>
    </row>
    <row r="64" spans="1:10" x14ac:dyDescent="0.45">
      <c r="A64" s="2" t="s">
        <v>67</v>
      </c>
      <c r="B64" s="32">
        <v>325</v>
      </c>
      <c r="C64" s="32">
        <v>680</v>
      </c>
      <c r="D64" s="1">
        <v>0.52</v>
      </c>
      <c r="E64" s="5">
        <f t="shared" si="6"/>
        <v>355</v>
      </c>
      <c r="F64" s="3" t="str">
        <f t="shared" si="3"/>
        <v>High</v>
      </c>
      <c r="G64" s="5">
        <v>-15</v>
      </c>
      <c r="H64" s="5">
        <f t="shared" si="1"/>
        <v>15</v>
      </c>
      <c r="I64" s="4">
        <v>2.7</v>
      </c>
      <c r="J64" t="str">
        <f t="shared" si="2"/>
        <v>Poor</v>
      </c>
    </row>
    <row r="65" spans="1:10" x14ac:dyDescent="0.45">
      <c r="A65" s="2" t="s">
        <v>68</v>
      </c>
      <c r="B65" s="32">
        <v>1220</v>
      </c>
      <c r="C65" s="32">
        <v>1555</v>
      </c>
      <c r="D65" s="1">
        <v>0.22</v>
      </c>
      <c r="E65" s="5">
        <f t="shared" si="6"/>
        <v>335</v>
      </c>
      <c r="F65" s="3" t="str">
        <f t="shared" si="3"/>
        <v>Medium</v>
      </c>
      <c r="G65" s="5">
        <v>-16</v>
      </c>
      <c r="H65" s="5">
        <f t="shared" si="1"/>
        <v>16</v>
      </c>
      <c r="I65" s="4">
        <v>2.9</v>
      </c>
      <c r="J65" t="str">
        <f t="shared" si="2"/>
        <v>Poor</v>
      </c>
    </row>
    <row r="66" spans="1:10" x14ac:dyDescent="0.45">
      <c r="A66" s="2" t="s">
        <v>69</v>
      </c>
      <c r="B66" s="32">
        <v>990</v>
      </c>
      <c r="C66" s="32">
        <v>1814</v>
      </c>
      <c r="D66" s="1">
        <v>0.45</v>
      </c>
      <c r="E66" s="5">
        <f t="shared" si="6"/>
        <v>824</v>
      </c>
      <c r="F66" s="3" t="str">
        <f t="shared" si="3"/>
        <v>High</v>
      </c>
      <c r="G66" s="5">
        <v>-6</v>
      </c>
      <c r="H66" s="5">
        <f t="shared" si="1"/>
        <v>6</v>
      </c>
      <c r="I66" s="4">
        <v>2.2000000000000002</v>
      </c>
      <c r="J66" t="str">
        <f t="shared" si="2"/>
        <v>Poor</v>
      </c>
    </row>
    <row r="67" spans="1:10" x14ac:dyDescent="0.45">
      <c r="A67" s="2" t="s">
        <v>70</v>
      </c>
      <c r="B67" s="32">
        <v>1000</v>
      </c>
      <c r="C67" s="32">
        <v>2000</v>
      </c>
      <c r="D67" s="1">
        <v>0.5</v>
      </c>
      <c r="E67" s="5">
        <f t="shared" si="6"/>
        <v>1000</v>
      </c>
      <c r="F67" s="3" t="str">
        <f t="shared" ref="F67:F110" si="7">IF(D67&lt;20%,"Low",IF(D67&lt;=40%,"Medium","High"))</f>
        <v>High</v>
      </c>
      <c r="G67" s="5">
        <v>-7</v>
      </c>
      <c r="H67" s="5">
        <f t="shared" ref="H67:H110" si="8">IF(G67&lt;0,-G67,G67)</f>
        <v>7</v>
      </c>
      <c r="I67" s="4">
        <v>2.2999999999999998</v>
      </c>
      <c r="J67" t="str">
        <f t="shared" ref="J67:J110" si="9">IF(I67&lt;3,"Poor",IF(I67&lt;=4.4,"Average","Execellent"))</f>
        <v>Poor</v>
      </c>
    </row>
    <row r="68" spans="1:10" s="17" customFormat="1" x14ac:dyDescent="0.45">
      <c r="A68" s="13" t="s">
        <v>71</v>
      </c>
      <c r="B68" s="34">
        <v>3750</v>
      </c>
      <c r="C68" s="34">
        <v>6143</v>
      </c>
      <c r="D68" s="27">
        <v>0.39</v>
      </c>
      <c r="E68" s="14">
        <f t="shared" si="6"/>
        <v>2393</v>
      </c>
      <c r="F68" s="15" t="str">
        <f t="shared" si="7"/>
        <v>Medium</v>
      </c>
      <c r="G68" s="14">
        <v>-5</v>
      </c>
      <c r="H68" s="14">
        <f t="shared" si="8"/>
        <v>5</v>
      </c>
      <c r="I68" s="16">
        <v>3</v>
      </c>
      <c r="J68" s="17" t="str">
        <f t="shared" si="9"/>
        <v>Average</v>
      </c>
    </row>
    <row r="69" spans="1:10" x14ac:dyDescent="0.45">
      <c r="A69" s="2" t="s">
        <v>72</v>
      </c>
      <c r="B69" s="32">
        <v>382</v>
      </c>
      <c r="C69" s="32">
        <v>700</v>
      </c>
      <c r="D69" s="1">
        <v>0.45</v>
      </c>
      <c r="E69" s="5">
        <f t="shared" si="6"/>
        <v>318</v>
      </c>
      <c r="F69" s="3" t="str">
        <f t="shared" si="7"/>
        <v>High</v>
      </c>
      <c r="G69" s="5">
        <v>-17</v>
      </c>
      <c r="H69" s="5">
        <f t="shared" si="8"/>
        <v>17</v>
      </c>
      <c r="I69" s="4">
        <v>2.6</v>
      </c>
      <c r="J69" t="str">
        <f t="shared" si="9"/>
        <v>Poor</v>
      </c>
    </row>
    <row r="70" spans="1:10" x14ac:dyDescent="0.45">
      <c r="A70" s="2" t="s">
        <v>73</v>
      </c>
      <c r="B70" s="32">
        <v>2300</v>
      </c>
      <c r="C70" s="32">
        <v>3240</v>
      </c>
      <c r="D70" s="1">
        <v>0.28999999999999998</v>
      </c>
      <c r="E70" s="5">
        <f t="shared" si="6"/>
        <v>940</v>
      </c>
      <c r="F70" s="3" t="str">
        <f t="shared" si="7"/>
        <v>Medium</v>
      </c>
      <c r="G70" s="5">
        <v>-5</v>
      </c>
      <c r="H70" s="5">
        <f t="shared" si="8"/>
        <v>5</v>
      </c>
      <c r="I70" s="4">
        <v>3</v>
      </c>
      <c r="J70" t="str">
        <f t="shared" si="9"/>
        <v>Average</v>
      </c>
    </row>
    <row r="71" spans="1:10" x14ac:dyDescent="0.45">
      <c r="A71" s="2" t="s">
        <v>74</v>
      </c>
      <c r="B71" s="32">
        <v>345</v>
      </c>
      <c r="C71" s="32">
        <v>602</v>
      </c>
      <c r="D71" s="1">
        <v>0.43</v>
      </c>
      <c r="E71" s="5">
        <f t="shared" si="6"/>
        <v>257</v>
      </c>
      <c r="F71" s="3" t="str">
        <f t="shared" si="7"/>
        <v>High</v>
      </c>
      <c r="G71" s="5">
        <v>-6</v>
      </c>
      <c r="H71" s="5">
        <f t="shared" si="8"/>
        <v>6</v>
      </c>
      <c r="I71" s="4">
        <v>2.2999999999999998</v>
      </c>
      <c r="J71" t="str">
        <f t="shared" si="9"/>
        <v>Poor</v>
      </c>
    </row>
    <row r="72" spans="1:10" x14ac:dyDescent="0.45">
      <c r="A72" s="2" t="s">
        <v>75</v>
      </c>
      <c r="B72" s="32">
        <v>509</v>
      </c>
      <c r="C72" s="32">
        <v>899</v>
      </c>
      <c r="D72" s="1">
        <v>0.43</v>
      </c>
      <c r="E72" s="5">
        <f t="shared" si="6"/>
        <v>390</v>
      </c>
      <c r="F72" s="3" t="str">
        <f t="shared" si="7"/>
        <v>High</v>
      </c>
      <c r="G72" s="5">
        <v>-5</v>
      </c>
      <c r="H72" s="5">
        <f t="shared" si="8"/>
        <v>5</v>
      </c>
      <c r="I72" s="4">
        <v>3</v>
      </c>
      <c r="J72" t="str">
        <f t="shared" si="9"/>
        <v>Average</v>
      </c>
    </row>
    <row r="73" spans="1:10" x14ac:dyDescent="0.45">
      <c r="A73" s="2" t="s">
        <v>76</v>
      </c>
      <c r="B73" s="32">
        <v>968</v>
      </c>
      <c r="C73" s="32">
        <v>1814</v>
      </c>
      <c r="D73" s="1">
        <v>0.47</v>
      </c>
      <c r="E73" s="5">
        <f t="shared" si="6"/>
        <v>846</v>
      </c>
      <c r="F73" s="3" t="str">
        <f t="shared" si="7"/>
        <v>High</v>
      </c>
      <c r="G73" s="5">
        <v>-6</v>
      </c>
      <c r="H73" s="5">
        <f t="shared" si="8"/>
        <v>6</v>
      </c>
      <c r="I73" s="4">
        <v>2.2000000000000002</v>
      </c>
      <c r="J73" t="str">
        <f t="shared" si="9"/>
        <v>Poor</v>
      </c>
    </row>
    <row r="74" spans="1:10" x14ac:dyDescent="0.45">
      <c r="A74" s="2" t="s">
        <v>77</v>
      </c>
      <c r="B74" s="32">
        <v>1570</v>
      </c>
      <c r="C74" s="32">
        <v>2988</v>
      </c>
      <c r="D74" s="1">
        <v>0.47</v>
      </c>
      <c r="E74" s="5">
        <f t="shared" si="6"/>
        <v>1418</v>
      </c>
      <c r="F74" s="3" t="str">
        <f t="shared" si="7"/>
        <v>High</v>
      </c>
      <c r="G74" s="5">
        <v>-7</v>
      </c>
      <c r="H74" s="5">
        <f t="shared" si="8"/>
        <v>7</v>
      </c>
      <c r="I74" s="4">
        <v>2.1</v>
      </c>
      <c r="J74" t="str">
        <f t="shared" si="9"/>
        <v>Poor</v>
      </c>
    </row>
    <row r="75" spans="1:10" x14ac:dyDescent="0.45">
      <c r="A75" s="2" t="s">
        <v>78</v>
      </c>
      <c r="B75" s="32">
        <v>790</v>
      </c>
      <c r="C75" s="32">
        <v>1485</v>
      </c>
      <c r="D75" s="1">
        <v>0.47</v>
      </c>
      <c r="E75" s="5">
        <f t="shared" ref="E75:E80" si="10">C75-B75</f>
        <v>695</v>
      </c>
      <c r="F75" s="3" t="str">
        <f t="shared" si="7"/>
        <v>High</v>
      </c>
      <c r="G75" s="5">
        <v>0</v>
      </c>
      <c r="H75" s="5">
        <f t="shared" si="8"/>
        <v>0</v>
      </c>
      <c r="I75" s="11">
        <v>3.8</v>
      </c>
      <c r="J75" t="str">
        <f t="shared" si="9"/>
        <v>Average</v>
      </c>
    </row>
    <row r="76" spans="1:10" x14ac:dyDescent="0.45">
      <c r="A76" s="2" t="s">
        <v>79</v>
      </c>
      <c r="B76" s="32">
        <v>690</v>
      </c>
      <c r="C76" s="32">
        <v>1200</v>
      </c>
      <c r="D76" s="1">
        <v>0.43</v>
      </c>
      <c r="E76" s="5">
        <f t="shared" si="10"/>
        <v>510</v>
      </c>
      <c r="F76" s="3" t="str">
        <f t="shared" si="7"/>
        <v>High</v>
      </c>
      <c r="G76" s="5">
        <v>0</v>
      </c>
      <c r="H76" s="5">
        <f t="shared" si="8"/>
        <v>0</v>
      </c>
      <c r="I76" s="11">
        <v>3.8</v>
      </c>
      <c r="J76" t="str">
        <f t="shared" si="9"/>
        <v>Average</v>
      </c>
    </row>
    <row r="77" spans="1:10" x14ac:dyDescent="0.45">
      <c r="A77" s="2" t="s">
        <v>80</v>
      </c>
      <c r="B77" s="32">
        <v>1732</v>
      </c>
      <c r="C77" s="32">
        <v>1799</v>
      </c>
      <c r="D77" s="1">
        <v>0.04</v>
      </c>
      <c r="E77" s="5">
        <f t="shared" si="10"/>
        <v>67</v>
      </c>
      <c r="F77" s="3" t="str">
        <f t="shared" si="7"/>
        <v>Low</v>
      </c>
      <c r="G77" s="5">
        <v>0</v>
      </c>
      <c r="H77" s="5">
        <f t="shared" si="8"/>
        <v>0</v>
      </c>
      <c r="I77" s="11">
        <v>3.8</v>
      </c>
      <c r="J77" t="str">
        <f t="shared" si="9"/>
        <v>Average</v>
      </c>
    </row>
    <row r="78" spans="1:10" x14ac:dyDescent="0.45">
      <c r="A78" s="2" t="s">
        <v>81</v>
      </c>
      <c r="B78" s="32">
        <v>230</v>
      </c>
      <c r="C78" s="32">
        <v>450</v>
      </c>
      <c r="D78" s="1">
        <v>0.49</v>
      </c>
      <c r="E78" s="5">
        <f t="shared" si="10"/>
        <v>220</v>
      </c>
      <c r="F78" s="3" t="str">
        <f t="shared" si="7"/>
        <v>High</v>
      </c>
      <c r="G78" s="5">
        <v>0</v>
      </c>
      <c r="H78" s="5">
        <f t="shared" si="8"/>
        <v>0</v>
      </c>
      <c r="I78" s="11">
        <v>3.8</v>
      </c>
      <c r="J78" t="str">
        <f t="shared" si="9"/>
        <v>Average</v>
      </c>
    </row>
    <row r="79" spans="1:10" x14ac:dyDescent="0.45">
      <c r="A79" s="2" t="s">
        <v>82</v>
      </c>
      <c r="B79" s="32">
        <v>1189</v>
      </c>
      <c r="C79" s="32">
        <v>2199</v>
      </c>
      <c r="D79" s="1">
        <v>0.46</v>
      </c>
      <c r="E79" s="5">
        <f t="shared" si="10"/>
        <v>1010</v>
      </c>
      <c r="F79" s="3" t="str">
        <f t="shared" si="7"/>
        <v>High</v>
      </c>
      <c r="G79" s="5">
        <v>-1</v>
      </c>
      <c r="H79" s="5">
        <f t="shared" si="8"/>
        <v>1</v>
      </c>
      <c r="I79" s="4">
        <v>3</v>
      </c>
      <c r="J79" t="str">
        <f t="shared" si="9"/>
        <v>Average</v>
      </c>
    </row>
    <row r="80" spans="1:10" x14ac:dyDescent="0.45">
      <c r="A80" s="2" t="s">
        <v>83</v>
      </c>
      <c r="B80" s="32">
        <v>979</v>
      </c>
      <c r="C80" s="32">
        <v>1920</v>
      </c>
      <c r="D80" s="1">
        <v>0.49</v>
      </c>
      <c r="E80" s="5">
        <f t="shared" si="10"/>
        <v>941</v>
      </c>
      <c r="F80" s="3" t="str">
        <f t="shared" si="7"/>
        <v>High</v>
      </c>
      <c r="G80" s="5">
        <v>-1</v>
      </c>
      <c r="H80" s="5">
        <f t="shared" si="8"/>
        <v>1</v>
      </c>
      <c r="I80" s="4">
        <v>5</v>
      </c>
      <c r="J80" t="str">
        <f t="shared" si="9"/>
        <v>Execellent</v>
      </c>
    </row>
    <row r="81" spans="1:10" x14ac:dyDescent="0.45">
      <c r="A81" s="2" t="s">
        <v>84</v>
      </c>
      <c r="B81" s="32">
        <v>1460</v>
      </c>
      <c r="C81" s="32">
        <v>2290</v>
      </c>
      <c r="D81" s="1">
        <v>0.36</v>
      </c>
      <c r="E81" s="5">
        <f t="shared" ref="E81:E83" si="11">C81-B81</f>
        <v>830</v>
      </c>
      <c r="F81" s="3" t="str">
        <f t="shared" si="7"/>
        <v>Medium</v>
      </c>
      <c r="G81" s="5">
        <v>0</v>
      </c>
      <c r="H81" s="5">
        <f t="shared" si="8"/>
        <v>0</v>
      </c>
      <c r="I81" s="11">
        <v>3.8</v>
      </c>
      <c r="J81" t="str">
        <f t="shared" si="9"/>
        <v>Average</v>
      </c>
    </row>
    <row r="82" spans="1:10" x14ac:dyDescent="0.45">
      <c r="A82" s="2" t="s">
        <v>85</v>
      </c>
      <c r="B82" s="32">
        <v>1666</v>
      </c>
      <c r="C82" s="32">
        <v>1699</v>
      </c>
      <c r="D82" s="1">
        <v>0.02</v>
      </c>
      <c r="E82" s="5">
        <f t="shared" si="11"/>
        <v>33</v>
      </c>
      <c r="F82" s="3" t="str">
        <f t="shared" si="7"/>
        <v>Low</v>
      </c>
      <c r="G82" s="5">
        <v>0</v>
      </c>
      <c r="H82" s="5">
        <f t="shared" si="8"/>
        <v>0</v>
      </c>
      <c r="I82" s="11">
        <v>3.8</v>
      </c>
      <c r="J82" t="str">
        <f t="shared" si="9"/>
        <v>Average</v>
      </c>
    </row>
    <row r="83" spans="1:10" x14ac:dyDescent="0.45">
      <c r="A83" s="2" t="s">
        <v>86</v>
      </c>
      <c r="B83" s="32">
        <v>330</v>
      </c>
      <c r="C83" s="32">
        <v>647</v>
      </c>
      <c r="D83" s="1">
        <v>0.49</v>
      </c>
      <c r="E83" s="5">
        <f t="shared" si="11"/>
        <v>317</v>
      </c>
      <c r="F83" s="3" t="str">
        <f t="shared" si="7"/>
        <v>High</v>
      </c>
      <c r="G83" s="5">
        <v>-1</v>
      </c>
      <c r="H83" s="5">
        <f t="shared" si="8"/>
        <v>1</v>
      </c>
      <c r="I83" s="4">
        <v>4</v>
      </c>
      <c r="J83" t="str">
        <f t="shared" si="9"/>
        <v>Average</v>
      </c>
    </row>
    <row r="84" spans="1:10" x14ac:dyDescent="0.45">
      <c r="A84" s="2" t="s">
        <v>87</v>
      </c>
      <c r="B84" s="32">
        <v>1466</v>
      </c>
      <c r="C84" s="32">
        <v>1699</v>
      </c>
      <c r="D84" s="1">
        <v>0.14000000000000001</v>
      </c>
      <c r="E84" s="5">
        <f t="shared" ref="E84:E100" si="12">C84-B84</f>
        <v>233</v>
      </c>
      <c r="F84" s="3" t="str">
        <f t="shared" si="7"/>
        <v>Low</v>
      </c>
      <c r="G84" s="5">
        <v>0</v>
      </c>
      <c r="H84" s="5">
        <f t="shared" si="8"/>
        <v>0</v>
      </c>
      <c r="I84" s="11">
        <v>3.8</v>
      </c>
      <c r="J84" t="str">
        <f t="shared" si="9"/>
        <v>Average</v>
      </c>
    </row>
    <row r="85" spans="1:10" x14ac:dyDescent="0.45">
      <c r="A85" s="2" t="s">
        <v>88</v>
      </c>
      <c r="B85" s="32">
        <v>274</v>
      </c>
      <c r="C85" s="32">
        <v>537</v>
      </c>
      <c r="D85" s="1">
        <v>0.49</v>
      </c>
      <c r="E85" s="5">
        <f t="shared" si="12"/>
        <v>263</v>
      </c>
      <c r="F85" s="3" t="str">
        <f t="shared" si="7"/>
        <v>High</v>
      </c>
      <c r="G85" s="5">
        <v>0</v>
      </c>
      <c r="H85" s="5">
        <f t="shared" si="8"/>
        <v>0</v>
      </c>
      <c r="I85" s="11">
        <v>3.8</v>
      </c>
      <c r="J85" t="str">
        <f t="shared" si="9"/>
        <v>Average</v>
      </c>
    </row>
    <row r="86" spans="1:10" x14ac:dyDescent="0.45">
      <c r="A86" s="2" t="s">
        <v>89</v>
      </c>
      <c r="B86" s="32">
        <v>799</v>
      </c>
      <c r="C86" s="32">
        <v>900</v>
      </c>
      <c r="D86" s="1">
        <v>0.11</v>
      </c>
      <c r="E86" s="5">
        <f t="shared" si="12"/>
        <v>101</v>
      </c>
      <c r="F86" s="3" t="str">
        <f t="shared" si="7"/>
        <v>Low</v>
      </c>
      <c r="G86" s="5">
        <v>0</v>
      </c>
      <c r="H86" s="5">
        <f t="shared" si="8"/>
        <v>0</v>
      </c>
      <c r="I86" s="11">
        <v>3.8</v>
      </c>
      <c r="J86" t="str">
        <f t="shared" si="9"/>
        <v>Average</v>
      </c>
    </row>
    <row r="87" spans="1:10" x14ac:dyDescent="0.45">
      <c r="A87" s="2" t="s">
        <v>90</v>
      </c>
      <c r="B87" s="32">
        <v>1468</v>
      </c>
      <c r="C87" s="32">
        <v>1699</v>
      </c>
      <c r="D87" s="1">
        <v>0.14000000000000001</v>
      </c>
      <c r="E87" s="5">
        <f t="shared" si="12"/>
        <v>231</v>
      </c>
      <c r="F87" s="3" t="str">
        <f t="shared" si="7"/>
        <v>Low</v>
      </c>
      <c r="G87" s="5">
        <v>0</v>
      </c>
      <c r="H87" s="5">
        <f t="shared" si="8"/>
        <v>0</v>
      </c>
      <c r="I87" s="11">
        <v>3.8</v>
      </c>
      <c r="J87" t="str">
        <f t="shared" si="9"/>
        <v>Average</v>
      </c>
    </row>
    <row r="88" spans="1:10" x14ac:dyDescent="0.45">
      <c r="A88" s="2" t="s">
        <v>91</v>
      </c>
      <c r="B88" s="32">
        <v>630</v>
      </c>
      <c r="C88" s="32">
        <v>1100</v>
      </c>
      <c r="D88" s="1">
        <v>0.43</v>
      </c>
      <c r="E88" s="5">
        <f t="shared" si="12"/>
        <v>470</v>
      </c>
      <c r="F88" s="3" t="str">
        <f t="shared" si="7"/>
        <v>High</v>
      </c>
      <c r="G88" s="5">
        <v>0</v>
      </c>
      <c r="H88" s="5">
        <f t="shared" si="8"/>
        <v>0</v>
      </c>
      <c r="I88" s="11">
        <v>3.8</v>
      </c>
      <c r="J88" t="str">
        <f t="shared" si="9"/>
        <v>Average</v>
      </c>
    </row>
    <row r="89" spans="1:10" x14ac:dyDescent="0.45">
      <c r="A89" s="2" t="s">
        <v>92</v>
      </c>
      <c r="B89" s="32">
        <v>850</v>
      </c>
      <c r="C89" s="32">
        <v>1700</v>
      </c>
      <c r="D89" s="1">
        <v>0.5</v>
      </c>
      <c r="E89" s="5">
        <f t="shared" si="12"/>
        <v>850</v>
      </c>
      <c r="F89" s="3" t="str">
        <f t="shared" si="7"/>
        <v>High</v>
      </c>
      <c r="G89" s="5">
        <v>0</v>
      </c>
      <c r="H89" s="5">
        <f t="shared" si="8"/>
        <v>0</v>
      </c>
      <c r="I89" s="11">
        <v>3.8</v>
      </c>
      <c r="J89" t="str">
        <f t="shared" si="9"/>
        <v>Average</v>
      </c>
    </row>
    <row r="90" spans="1:10" x14ac:dyDescent="0.45">
      <c r="A90" s="2" t="s">
        <v>93</v>
      </c>
      <c r="B90" s="32">
        <v>1300</v>
      </c>
      <c r="C90" s="32">
        <v>2500</v>
      </c>
      <c r="D90" s="1">
        <v>0.48</v>
      </c>
      <c r="E90" s="5">
        <f t="shared" si="12"/>
        <v>1200</v>
      </c>
      <c r="F90" s="3" t="str">
        <f t="shared" si="7"/>
        <v>High</v>
      </c>
      <c r="G90" s="5">
        <v>0</v>
      </c>
      <c r="H90" s="5">
        <f t="shared" si="8"/>
        <v>0</v>
      </c>
      <c r="I90" s="11">
        <v>3.8</v>
      </c>
      <c r="J90" t="str">
        <f t="shared" si="9"/>
        <v>Average</v>
      </c>
    </row>
    <row r="91" spans="1:10" x14ac:dyDescent="0.45">
      <c r="A91" s="2" t="s">
        <v>94</v>
      </c>
      <c r="B91" s="32">
        <v>105</v>
      </c>
      <c r="C91" s="32">
        <v>200</v>
      </c>
      <c r="D91" s="1">
        <v>0.48</v>
      </c>
      <c r="E91" s="5">
        <f t="shared" si="12"/>
        <v>95</v>
      </c>
      <c r="F91" s="3" t="str">
        <f t="shared" si="7"/>
        <v>High</v>
      </c>
      <c r="G91" s="5">
        <v>0</v>
      </c>
      <c r="H91" s="5">
        <f t="shared" si="8"/>
        <v>0</v>
      </c>
      <c r="I91" s="11">
        <v>3.8</v>
      </c>
      <c r="J91" t="str">
        <f t="shared" si="9"/>
        <v>Average</v>
      </c>
    </row>
    <row r="92" spans="1:10" x14ac:dyDescent="0.45">
      <c r="A92" s="2" t="s">
        <v>95</v>
      </c>
      <c r="B92" s="32">
        <v>899</v>
      </c>
      <c r="C92" s="32">
        <v>1699</v>
      </c>
      <c r="D92" s="1">
        <v>0.47</v>
      </c>
      <c r="E92" s="5">
        <f t="shared" si="12"/>
        <v>800</v>
      </c>
      <c r="F92" s="3" t="str">
        <f t="shared" si="7"/>
        <v>High</v>
      </c>
      <c r="G92" s="5">
        <v>0</v>
      </c>
      <c r="H92" s="5">
        <f t="shared" si="8"/>
        <v>0</v>
      </c>
      <c r="I92" s="11">
        <v>3.8</v>
      </c>
      <c r="J92" t="str">
        <f t="shared" si="9"/>
        <v>Average</v>
      </c>
    </row>
    <row r="93" spans="1:10" x14ac:dyDescent="0.45">
      <c r="A93" s="2" t="s">
        <v>96</v>
      </c>
      <c r="B93" s="32">
        <v>1200</v>
      </c>
      <c r="C93" s="32">
        <v>2400</v>
      </c>
      <c r="D93" s="1">
        <v>0.5</v>
      </c>
      <c r="E93" s="5">
        <f t="shared" si="12"/>
        <v>1200</v>
      </c>
      <c r="F93" s="3" t="str">
        <f t="shared" si="7"/>
        <v>High</v>
      </c>
      <c r="G93" s="5">
        <v>0</v>
      </c>
      <c r="H93" s="5">
        <f t="shared" si="8"/>
        <v>0</v>
      </c>
      <c r="I93" s="11">
        <v>3.8</v>
      </c>
      <c r="J93" t="str">
        <f t="shared" si="9"/>
        <v>Average</v>
      </c>
    </row>
    <row r="94" spans="1:10" x14ac:dyDescent="0.45">
      <c r="A94" s="2" t="s">
        <v>97</v>
      </c>
      <c r="B94" s="32">
        <v>1526</v>
      </c>
      <c r="C94" s="32">
        <v>1660</v>
      </c>
      <c r="D94" s="1">
        <v>0.08</v>
      </c>
      <c r="E94" s="5">
        <f t="shared" si="12"/>
        <v>134</v>
      </c>
      <c r="F94" s="3" t="str">
        <f t="shared" si="7"/>
        <v>Low</v>
      </c>
      <c r="G94" s="5">
        <v>0</v>
      </c>
      <c r="H94" s="5">
        <f t="shared" si="8"/>
        <v>0</v>
      </c>
      <c r="I94" s="11">
        <v>3.8</v>
      </c>
      <c r="J94" t="str">
        <f t="shared" si="9"/>
        <v>Average</v>
      </c>
    </row>
    <row r="95" spans="1:10" x14ac:dyDescent="0.45">
      <c r="A95" s="2" t="s">
        <v>98</v>
      </c>
      <c r="B95" s="32">
        <v>1462</v>
      </c>
      <c r="C95" s="32">
        <v>1499</v>
      </c>
      <c r="D95" s="1">
        <v>0.02</v>
      </c>
      <c r="E95" s="5">
        <f t="shared" si="12"/>
        <v>37</v>
      </c>
      <c r="F95" s="3" t="str">
        <f t="shared" si="7"/>
        <v>Low</v>
      </c>
      <c r="G95" s="5">
        <v>0</v>
      </c>
      <c r="H95" s="5">
        <f t="shared" si="8"/>
        <v>0</v>
      </c>
      <c r="I95" s="11">
        <v>3.8</v>
      </c>
      <c r="J95" t="str">
        <f t="shared" si="9"/>
        <v>Average</v>
      </c>
    </row>
    <row r="96" spans="1:10" x14ac:dyDescent="0.45">
      <c r="A96" s="2" t="s">
        <v>99</v>
      </c>
      <c r="B96" s="32">
        <v>248</v>
      </c>
      <c r="C96" s="32">
        <v>486</v>
      </c>
      <c r="D96" s="1">
        <v>0.49</v>
      </c>
      <c r="E96" s="5">
        <f t="shared" si="12"/>
        <v>238</v>
      </c>
      <c r="F96" s="3" t="str">
        <f t="shared" si="7"/>
        <v>High</v>
      </c>
      <c r="G96" s="5">
        <v>0</v>
      </c>
      <c r="H96" s="5">
        <f t="shared" si="8"/>
        <v>0</v>
      </c>
      <c r="I96" s="11">
        <v>3.8</v>
      </c>
      <c r="J96" t="str">
        <f t="shared" si="9"/>
        <v>Average</v>
      </c>
    </row>
    <row r="97" spans="1:10" x14ac:dyDescent="0.45">
      <c r="A97" s="2" t="s">
        <v>100</v>
      </c>
      <c r="B97" s="32">
        <v>3546</v>
      </c>
      <c r="C97" s="32">
        <v>3699</v>
      </c>
      <c r="D97" s="1">
        <v>0.04</v>
      </c>
      <c r="E97" s="5">
        <f t="shared" si="12"/>
        <v>153</v>
      </c>
      <c r="F97" s="3" t="str">
        <f t="shared" si="7"/>
        <v>Low</v>
      </c>
      <c r="G97" s="5">
        <v>0</v>
      </c>
      <c r="H97" s="5">
        <f t="shared" si="8"/>
        <v>0</v>
      </c>
      <c r="I97" s="11">
        <v>3.8</v>
      </c>
      <c r="J97" t="str">
        <f t="shared" si="9"/>
        <v>Average</v>
      </c>
    </row>
    <row r="98" spans="1:10" x14ac:dyDescent="0.45">
      <c r="A98" s="2" t="s">
        <v>101</v>
      </c>
      <c r="B98" s="32">
        <v>525</v>
      </c>
      <c r="C98" s="32">
        <v>1029</v>
      </c>
      <c r="D98" s="1">
        <v>0.49</v>
      </c>
      <c r="E98" s="5">
        <f t="shared" si="12"/>
        <v>504</v>
      </c>
      <c r="F98" s="3" t="str">
        <f t="shared" si="7"/>
        <v>High</v>
      </c>
      <c r="G98" s="5">
        <v>0</v>
      </c>
      <c r="H98" s="5">
        <f t="shared" si="8"/>
        <v>0</v>
      </c>
      <c r="I98" s="11">
        <v>3.8</v>
      </c>
      <c r="J98" t="str">
        <f t="shared" si="9"/>
        <v>Average</v>
      </c>
    </row>
    <row r="99" spans="1:10" x14ac:dyDescent="0.45">
      <c r="A99" s="2" t="s">
        <v>102</v>
      </c>
      <c r="B99" s="32">
        <v>1080</v>
      </c>
      <c r="C99" s="32">
        <v>1874</v>
      </c>
      <c r="D99" s="1">
        <v>0.42</v>
      </c>
      <c r="E99" s="5">
        <f t="shared" si="12"/>
        <v>794</v>
      </c>
      <c r="F99" s="3" t="str">
        <f t="shared" si="7"/>
        <v>High</v>
      </c>
      <c r="G99" s="5">
        <v>0</v>
      </c>
      <c r="H99" s="5">
        <f t="shared" si="8"/>
        <v>0</v>
      </c>
      <c r="I99" s="11">
        <v>3.8</v>
      </c>
      <c r="J99" t="str">
        <f t="shared" si="9"/>
        <v>Average</v>
      </c>
    </row>
    <row r="100" spans="1:10" x14ac:dyDescent="0.45">
      <c r="A100" s="2" t="s">
        <v>103</v>
      </c>
      <c r="B100" s="32">
        <v>3640</v>
      </c>
      <c r="C100" s="32">
        <v>4588</v>
      </c>
      <c r="D100" s="1">
        <v>0.21</v>
      </c>
      <c r="E100" s="5">
        <f t="shared" si="12"/>
        <v>948</v>
      </c>
      <c r="F100" s="3" t="str">
        <f t="shared" si="7"/>
        <v>Medium</v>
      </c>
      <c r="G100" s="5">
        <v>-1</v>
      </c>
      <c r="H100" s="5">
        <f t="shared" si="8"/>
        <v>1</v>
      </c>
      <c r="I100" s="4">
        <v>5</v>
      </c>
      <c r="J100" t="str">
        <f t="shared" si="9"/>
        <v>Execellent</v>
      </c>
    </row>
    <row r="101" spans="1:10" x14ac:dyDescent="0.45">
      <c r="A101" s="2" t="s">
        <v>104</v>
      </c>
      <c r="B101" s="32">
        <v>1420</v>
      </c>
      <c r="C101" s="32">
        <v>2420</v>
      </c>
      <c r="D101" s="1">
        <v>0.41</v>
      </c>
      <c r="E101" s="5">
        <f t="shared" ref="E101:E109" si="13">C101-B101</f>
        <v>1000</v>
      </c>
      <c r="F101" s="3" t="str">
        <f t="shared" si="7"/>
        <v>High</v>
      </c>
      <c r="G101" s="5">
        <v>0</v>
      </c>
      <c r="H101" s="5">
        <f t="shared" si="8"/>
        <v>0</v>
      </c>
      <c r="I101" s="11">
        <v>3.8</v>
      </c>
      <c r="J101" t="str">
        <f t="shared" si="9"/>
        <v>Average</v>
      </c>
    </row>
    <row r="102" spans="1:10" x14ac:dyDescent="0.45">
      <c r="A102" s="2" t="s">
        <v>105</v>
      </c>
      <c r="B102" s="32">
        <v>1875</v>
      </c>
      <c r="C102" s="32">
        <v>1899</v>
      </c>
      <c r="D102" s="1">
        <v>0.01</v>
      </c>
      <c r="E102" s="5">
        <f t="shared" si="13"/>
        <v>24</v>
      </c>
      <c r="F102" s="3" t="str">
        <f t="shared" si="7"/>
        <v>Low</v>
      </c>
      <c r="G102" s="5">
        <v>0</v>
      </c>
      <c r="H102" s="5">
        <f t="shared" si="8"/>
        <v>0</v>
      </c>
      <c r="I102" s="11">
        <v>3.8</v>
      </c>
      <c r="J102" t="str">
        <f t="shared" si="9"/>
        <v>Average</v>
      </c>
    </row>
    <row r="103" spans="1:10" x14ac:dyDescent="0.45">
      <c r="A103" s="2" t="s">
        <v>106</v>
      </c>
      <c r="B103" s="32">
        <v>198</v>
      </c>
      <c r="C103" s="32">
        <v>260</v>
      </c>
      <c r="D103" s="1">
        <v>0.24</v>
      </c>
      <c r="E103" s="5">
        <f t="shared" si="13"/>
        <v>62</v>
      </c>
      <c r="F103" s="3" t="str">
        <f t="shared" si="7"/>
        <v>Medium</v>
      </c>
      <c r="G103" s="5">
        <v>0</v>
      </c>
      <c r="H103" s="5">
        <f t="shared" si="8"/>
        <v>0</v>
      </c>
      <c r="I103" s="11">
        <v>3.8</v>
      </c>
      <c r="J103" t="str">
        <f t="shared" si="9"/>
        <v>Average</v>
      </c>
    </row>
    <row r="104" spans="1:10" x14ac:dyDescent="0.45">
      <c r="A104" s="2" t="s">
        <v>107</v>
      </c>
      <c r="B104" s="32">
        <v>1150</v>
      </c>
      <c r="C104" s="32">
        <v>1737</v>
      </c>
      <c r="D104" s="1">
        <v>0.34</v>
      </c>
      <c r="E104" s="5">
        <f t="shared" si="13"/>
        <v>587</v>
      </c>
      <c r="F104" s="3" t="str">
        <f t="shared" si="7"/>
        <v>Medium</v>
      </c>
      <c r="G104" s="5">
        <v>0</v>
      </c>
      <c r="H104" s="5">
        <f t="shared" si="8"/>
        <v>0</v>
      </c>
      <c r="I104" s="11">
        <v>3.8</v>
      </c>
      <c r="J104" t="str">
        <f t="shared" si="9"/>
        <v>Average</v>
      </c>
    </row>
    <row r="105" spans="1:10" x14ac:dyDescent="0.45">
      <c r="A105" s="2" t="s">
        <v>108</v>
      </c>
      <c r="B105" s="32">
        <v>1190</v>
      </c>
      <c r="C105" s="32">
        <v>1810</v>
      </c>
      <c r="D105" s="1">
        <v>0.34</v>
      </c>
      <c r="E105" s="5">
        <f t="shared" si="13"/>
        <v>620</v>
      </c>
      <c r="F105" s="3" t="str">
        <f t="shared" si="7"/>
        <v>Medium</v>
      </c>
      <c r="G105" s="5">
        <v>0</v>
      </c>
      <c r="H105" s="5">
        <f t="shared" si="8"/>
        <v>0</v>
      </c>
      <c r="I105" s="11">
        <v>3.8</v>
      </c>
      <c r="J105" t="str">
        <f t="shared" si="9"/>
        <v>Average</v>
      </c>
    </row>
    <row r="106" spans="1:10" x14ac:dyDescent="0.45">
      <c r="A106" s="2" t="s">
        <v>109</v>
      </c>
      <c r="B106" s="32">
        <v>1658</v>
      </c>
      <c r="C106" s="32">
        <v>1699</v>
      </c>
      <c r="D106" s="1">
        <v>0.02</v>
      </c>
      <c r="E106" s="5">
        <f t="shared" si="13"/>
        <v>41</v>
      </c>
      <c r="F106" s="3" t="str">
        <f t="shared" si="7"/>
        <v>Low</v>
      </c>
      <c r="G106" s="5">
        <v>0</v>
      </c>
      <c r="H106" s="5">
        <f t="shared" si="8"/>
        <v>0</v>
      </c>
      <c r="I106" s="11">
        <v>3.8</v>
      </c>
      <c r="J106" t="str">
        <f t="shared" si="9"/>
        <v>Average</v>
      </c>
    </row>
    <row r="107" spans="1:10" x14ac:dyDescent="0.45">
      <c r="A107" s="2" t="s">
        <v>110</v>
      </c>
      <c r="B107" s="32">
        <v>1768</v>
      </c>
      <c r="C107" s="32">
        <v>1799</v>
      </c>
      <c r="D107" s="1">
        <v>0.02</v>
      </c>
      <c r="E107" s="5">
        <f t="shared" si="13"/>
        <v>31</v>
      </c>
      <c r="F107" s="3" t="str">
        <f t="shared" si="7"/>
        <v>Low</v>
      </c>
      <c r="G107" s="5">
        <v>0</v>
      </c>
      <c r="H107" s="5">
        <f t="shared" si="8"/>
        <v>0</v>
      </c>
      <c r="I107" s="11">
        <v>3.8</v>
      </c>
      <c r="J107" t="str">
        <f t="shared" si="9"/>
        <v>Average</v>
      </c>
    </row>
    <row r="108" spans="1:10" x14ac:dyDescent="0.45">
      <c r="A108" s="2" t="s">
        <v>111</v>
      </c>
      <c r="B108" s="32">
        <v>199</v>
      </c>
      <c r="C108" s="32">
        <v>553</v>
      </c>
      <c r="D108" s="1">
        <v>0.64</v>
      </c>
      <c r="E108" s="5">
        <f t="shared" si="13"/>
        <v>354</v>
      </c>
      <c r="F108" s="3" t="str">
        <f t="shared" si="7"/>
        <v>High</v>
      </c>
      <c r="G108" s="5">
        <v>0</v>
      </c>
      <c r="H108" s="5">
        <f t="shared" si="8"/>
        <v>0</v>
      </c>
      <c r="I108" s="11">
        <v>3.8</v>
      </c>
      <c r="J108" t="str">
        <f t="shared" si="9"/>
        <v>Average</v>
      </c>
    </row>
    <row r="109" spans="1:10" x14ac:dyDescent="0.45">
      <c r="A109" s="2" t="s">
        <v>112</v>
      </c>
      <c r="B109" s="32">
        <v>450</v>
      </c>
      <c r="C109" s="32">
        <v>900</v>
      </c>
      <c r="D109" s="1">
        <v>0.5</v>
      </c>
      <c r="E109" s="5">
        <f t="shared" si="13"/>
        <v>450</v>
      </c>
      <c r="F109" s="3" t="str">
        <f t="shared" si="7"/>
        <v>High</v>
      </c>
      <c r="G109" s="5">
        <v>-1</v>
      </c>
      <c r="H109" s="5">
        <f t="shared" si="8"/>
        <v>1</v>
      </c>
      <c r="I109" s="4">
        <v>2</v>
      </c>
      <c r="J109" t="str">
        <f t="shared" si="9"/>
        <v>Poor</v>
      </c>
    </row>
    <row r="110" spans="1:10" x14ac:dyDescent="0.45">
      <c r="A110" s="2" t="s">
        <v>113</v>
      </c>
      <c r="B110" s="32">
        <v>169</v>
      </c>
      <c r="C110" s="32">
        <v>320</v>
      </c>
      <c r="D110" s="1">
        <v>0.47</v>
      </c>
      <c r="E110" s="5">
        <f t="shared" ref="E110" si="14">C110-B110</f>
        <v>151</v>
      </c>
      <c r="F110" s="3" t="str">
        <f t="shared" si="7"/>
        <v>High</v>
      </c>
      <c r="G110" s="5">
        <v>0</v>
      </c>
      <c r="H110" s="5">
        <f t="shared" si="8"/>
        <v>0</v>
      </c>
      <c r="I110" s="11">
        <v>3.8</v>
      </c>
      <c r="J110" t="str">
        <f t="shared" si="9"/>
        <v>Average</v>
      </c>
    </row>
    <row r="111" spans="1:10" x14ac:dyDescent="0.45">
      <c r="F111" s="3"/>
    </row>
    <row r="112" spans="1:10" x14ac:dyDescent="0.45">
      <c r="F112" s="3"/>
    </row>
    <row r="113" spans="1:9" x14ac:dyDescent="0.45">
      <c r="A113" s="6" t="s">
        <v>118</v>
      </c>
      <c r="B113" s="32">
        <f>AVERAGE(B2:B110)</f>
        <v>1208.2568807339449</v>
      </c>
      <c r="C113" s="32">
        <f>AVERAGE(C2:C110)</f>
        <v>1837.7522935779816</v>
      </c>
      <c r="E113" s="5">
        <f>AVERAGE(E2:E110)</f>
        <v>629.49541284403665</v>
      </c>
      <c r="F113" s="5"/>
      <c r="I113" s="11">
        <f>AVERAGE(I2:I112)</f>
        <v>3.8422018348623905</v>
      </c>
    </row>
    <row r="114" spans="1:9" x14ac:dyDescent="0.45">
      <c r="A114" s="6" t="s">
        <v>121</v>
      </c>
      <c r="B114" s="32">
        <f>MAX(B2:B110)</f>
        <v>3750</v>
      </c>
      <c r="C114" s="32">
        <f>MAX(C2:C110)</f>
        <v>6143</v>
      </c>
      <c r="F114" s="3"/>
    </row>
    <row r="115" spans="1:9" x14ac:dyDescent="0.45">
      <c r="A115" s="6" t="s">
        <v>122</v>
      </c>
      <c r="B115" s="32">
        <f xml:space="preserve"> MIN(B2:B110)</f>
        <v>38</v>
      </c>
      <c r="C115" s="32">
        <f xml:space="preserve"> MIN(C2:C110)</f>
        <v>80</v>
      </c>
      <c r="F115" s="3"/>
    </row>
    <row r="116" spans="1:9" x14ac:dyDescent="0.45">
      <c r="F116" s="3"/>
    </row>
  </sheetData>
  <autoFilter ref="I1:I116" xr:uid="{00000000-0009-0000-0000-000000000000}"/>
  <conditionalFormatting sqref="G1:H1048576">
    <cfRule type="cellIs" dxfId="6" priority="2" operator="equal">
      <formula>0</formula>
    </cfRule>
  </conditionalFormatting>
  <conditionalFormatting sqref="I1:I1048576">
    <cfRule type="cellIs" dxfId="5" priority="1" operator="lessThan">
      <formula>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election activeCell="A13" sqref="A13"/>
    </sheetView>
  </sheetViews>
  <sheetFormatPr defaultRowHeight="14.25" x14ac:dyDescent="0.45"/>
  <cols>
    <col min="1" max="1" width="145.53125" customWidth="1"/>
  </cols>
  <sheetData>
    <row r="1" spans="1:1" x14ac:dyDescent="0.45">
      <c r="A1" t="s">
        <v>115</v>
      </c>
    </row>
    <row r="2" spans="1:1" x14ac:dyDescent="0.45">
      <c r="A2" t="s">
        <v>148</v>
      </c>
    </row>
    <row r="4" spans="1:1" x14ac:dyDescent="0.45">
      <c r="A4" t="s">
        <v>149</v>
      </c>
    </row>
    <row r="5" spans="1:1" x14ac:dyDescent="0.45">
      <c r="A5" t="s">
        <v>150</v>
      </c>
    </row>
    <row r="7" spans="1:1" x14ac:dyDescent="0.45">
      <c r="A7" t="s">
        <v>151</v>
      </c>
    </row>
    <row r="8" spans="1:1" x14ac:dyDescent="0.45">
      <c r="A8" t="s">
        <v>152</v>
      </c>
    </row>
    <row r="9" spans="1:1" x14ac:dyDescent="0.45">
      <c r="A9" t="s">
        <v>153</v>
      </c>
    </row>
    <row r="10" spans="1:1" x14ac:dyDescent="0.45">
      <c r="A10" t="s">
        <v>154</v>
      </c>
    </row>
    <row r="12" spans="1:1" x14ac:dyDescent="0.45">
      <c r="A12" t="s">
        <v>155</v>
      </c>
    </row>
    <row r="13" spans="1:1" x14ac:dyDescent="0.45">
      <c r="A13" t="s">
        <v>156</v>
      </c>
    </row>
    <row r="14" spans="1:1" x14ac:dyDescent="0.45">
      <c r="A14" t="s">
        <v>157</v>
      </c>
    </row>
    <row r="15" spans="1:1" x14ac:dyDescent="0.45">
      <c r="A15" t="s">
        <v>158</v>
      </c>
    </row>
    <row r="16" spans="1:1" x14ac:dyDescent="0.45">
      <c r="A16" t="s">
        <v>159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2"/>
  <sheetViews>
    <sheetView showGridLines="0" showRowColHeaders="0" tabSelected="1" showRuler="0" topLeftCell="A35" zoomScale="98" zoomScaleNormal="100" workbookViewId="0">
      <selection sqref="A1:XFD1048576"/>
    </sheetView>
  </sheetViews>
  <sheetFormatPr defaultRowHeight="14.25" x14ac:dyDescent="0.45"/>
  <cols>
    <col min="1" max="16384" width="9.06640625" style="38"/>
  </cols>
  <sheetData>
    <row r="1" spans="1:16" ht="14.25" customHeight="1" x14ac:dyDescent="0.55000000000000004">
      <c r="A1" s="41" t="s">
        <v>160</v>
      </c>
      <c r="B1" s="41"/>
      <c r="C1" s="41"/>
      <c r="G1" s="42"/>
      <c r="H1" s="43"/>
      <c r="I1" s="43"/>
      <c r="J1" s="43"/>
    </row>
    <row r="2" spans="1:16" ht="28.15" customHeight="1" x14ac:dyDescent="0.45"/>
    <row r="3" spans="1:16" x14ac:dyDescent="0.45">
      <c r="A3" s="40" t="s">
        <v>163</v>
      </c>
      <c r="B3" s="40"/>
      <c r="C3" s="40"/>
      <c r="D3" s="40"/>
      <c r="F3" s="40" t="s">
        <v>161</v>
      </c>
      <c r="G3" s="40"/>
      <c r="H3" s="40"/>
      <c r="J3" s="40" t="s">
        <v>162</v>
      </c>
      <c r="K3" s="40"/>
      <c r="L3" s="40"/>
      <c r="N3" s="40" t="s">
        <v>164</v>
      </c>
      <c r="O3" s="40"/>
      <c r="P3" s="40"/>
    </row>
    <row r="4" spans="1:16" x14ac:dyDescent="0.45">
      <c r="A4" s="40"/>
      <c r="B4" s="40"/>
      <c r="C4" s="40"/>
      <c r="D4" s="40"/>
      <c r="F4" s="40"/>
      <c r="G4" s="40"/>
      <c r="H4" s="40"/>
      <c r="J4" s="40"/>
      <c r="K4" s="40"/>
      <c r="L4" s="40"/>
      <c r="N4" s="40"/>
      <c r="O4" s="40"/>
      <c r="P4" s="40"/>
    </row>
    <row r="58" spans="4:4" x14ac:dyDescent="0.45">
      <c r="D58" s="38" t="s">
        <v>130</v>
      </c>
    </row>
    <row r="59" spans="4:4" x14ac:dyDescent="0.45">
      <c r="D59" s="38">
        <v>3.6966101694915277</v>
      </c>
    </row>
    <row r="61" spans="4:4" x14ac:dyDescent="0.45">
      <c r="D61" s="38">
        <v>4.1437500000000007</v>
      </c>
    </row>
    <row r="62" spans="4:4" x14ac:dyDescent="0.45">
      <c r="D62" s="38">
        <v>3.8422018348623892</v>
      </c>
    </row>
  </sheetData>
  <mergeCells count="4">
    <mergeCell ref="F3:H4"/>
    <mergeCell ref="J3:L4"/>
    <mergeCell ref="A3:D4"/>
    <mergeCell ref="N3: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7"/>
  <sheetViews>
    <sheetView topLeftCell="A23" workbookViewId="0">
      <selection activeCell="F28" sqref="F28:G41"/>
    </sheetView>
  </sheetViews>
  <sheetFormatPr defaultRowHeight="14.25" x14ac:dyDescent="0.45"/>
  <cols>
    <col min="1" max="1" width="12.06640625" bestFit="1" customWidth="1"/>
    <col min="2" max="2" width="15.19921875" bestFit="1" customWidth="1"/>
    <col min="3" max="3" width="17.265625" bestFit="1" customWidth="1"/>
  </cols>
  <sheetData>
    <row r="3" spans="1:3" x14ac:dyDescent="0.45">
      <c r="A3" s="23" t="s">
        <v>124</v>
      </c>
      <c r="B3" t="s">
        <v>130</v>
      </c>
      <c r="C3" t="s">
        <v>141</v>
      </c>
    </row>
    <row r="4" spans="1:3" x14ac:dyDescent="0.45">
      <c r="A4" s="24" t="s">
        <v>125</v>
      </c>
      <c r="B4" s="4">
        <v>3.6966101694915277</v>
      </c>
      <c r="C4" s="1">
        <v>0.48203389830508458</v>
      </c>
    </row>
    <row r="5" spans="1:3" x14ac:dyDescent="0.45">
      <c r="A5" s="24" t="s">
        <v>126</v>
      </c>
      <c r="B5" s="4">
        <v>3.7833333333333323</v>
      </c>
      <c r="C5" s="1">
        <v>7.2222222222222243E-2</v>
      </c>
    </row>
    <row r="6" spans="1:3" x14ac:dyDescent="0.45">
      <c r="A6" s="24" t="s">
        <v>127</v>
      </c>
      <c r="B6" s="4">
        <v>4.1437500000000007</v>
      </c>
      <c r="C6" s="1">
        <v>0.30999999999999994</v>
      </c>
    </row>
    <row r="7" spans="1:3" x14ac:dyDescent="0.45">
      <c r="A7" s="24" t="s">
        <v>129</v>
      </c>
      <c r="B7" s="4">
        <v>3.8422018348623892</v>
      </c>
      <c r="C7" s="1">
        <v>0.36385321100917439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I115"/>
  <sheetViews>
    <sheetView topLeftCell="A167" workbookViewId="0">
      <selection activeCell="B115" sqref="B115"/>
    </sheetView>
  </sheetViews>
  <sheetFormatPr defaultRowHeight="14.25" x14ac:dyDescent="0.45"/>
  <cols>
    <col min="1" max="1" width="84.9296875" bestFit="1" customWidth="1"/>
    <col min="2" max="2" width="14.73046875" bestFit="1" customWidth="1"/>
    <col min="3" max="3" width="12.06640625" bestFit="1" customWidth="1"/>
    <col min="4" max="4" width="14.59765625" bestFit="1" customWidth="1"/>
    <col min="5" max="5" width="12.06640625" bestFit="1" customWidth="1"/>
    <col min="6" max="6" width="14.59765625" bestFit="1" customWidth="1"/>
    <col min="7" max="7" width="12.06640625" bestFit="1" customWidth="1"/>
    <col min="8" max="8" width="19.19921875" bestFit="1" customWidth="1"/>
    <col min="9" max="9" width="16.6640625" bestFit="1" customWidth="1"/>
  </cols>
  <sheetData>
    <row r="3" spans="1:9" x14ac:dyDescent="0.45">
      <c r="B3" s="23" t="s">
        <v>134</v>
      </c>
    </row>
    <row r="4" spans="1:9" x14ac:dyDescent="0.45">
      <c r="B4" t="s">
        <v>132</v>
      </c>
      <c r="D4" t="s">
        <v>131</v>
      </c>
      <c r="F4" t="s">
        <v>133</v>
      </c>
      <c r="H4" t="s">
        <v>143</v>
      </c>
      <c r="I4" t="s">
        <v>144</v>
      </c>
    </row>
    <row r="5" spans="1:9" x14ac:dyDescent="0.45">
      <c r="A5" s="23" t="s">
        <v>124</v>
      </c>
      <c r="B5" t="s">
        <v>145</v>
      </c>
      <c r="C5" t="s">
        <v>123</v>
      </c>
      <c r="D5" t="s">
        <v>145</v>
      </c>
      <c r="E5" t="s">
        <v>123</v>
      </c>
      <c r="F5" t="s">
        <v>145</v>
      </c>
      <c r="G5" t="s">
        <v>123</v>
      </c>
    </row>
    <row r="6" spans="1:9" x14ac:dyDescent="0.45">
      <c r="A6" s="24" t="s">
        <v>43</v>
      </c>
      <c r="D6">
        <v>1</v>
      </c>
      <c r="E6">
        <v>4.5</v>
      </c>
      <c r="H6">
        <v>1</v>
      </c>
      <c r="I6">
        <v>4.5</v>
      </c>
    </row>
    <row r="7" spans="1:9" x14ac:dyDescent="0.45">
      <c r="A7" s="24" t="s">
        <v>16</v>
      </c>
      <c r="D7">
        <v>1</v>
      </c>
      <c r="E7">
        <v>4.7</v>
      </c>
      <c r="H7">
        <v>1</v>
      </c>
      <c r="I7">
        <v>4.7</v>
      </c>
    </row>
    <row r="8" spans="1:9" x14ac:dyDescent="0.45">
      <c r="A8" s="24" t="s">
        <v>5</v>
      </c>
      <c r="D8">
        <v>1</v>
      </c>
      <c r="E8">
        <v>4.5</v>
      </c>
      <c r="H8">
        <v>1</v>
      </c>
      <c r="I8">
        <v>4.5</v>
      </c>
    </row>
    <row r="9" spans="1:9" x14ac:dyDescent="0.45">
      <c r="A9" s="24" t="s">
        <v>32</v>
      </c>
      <c r="B9">
        <v>1</v>
      </c>
      <c r="C9">
        <v>3.8</v>
      </c>
      <c r="H9">
        <v>1</v>
      </c>
      <c r="I9">
        <v>3.8</v>
      </c>
    </row>
    <row r="10" spans="1:9" x14ac:dyDescent="0.45">
      <c r="A10" s="24" t="s">
        <v>36</v>
      </c>
      <c r="D10">
        <v>1</v>
      </c>
      <c r="E10">
        <v>4.7</v>
      </c>
      <c r="H10">
        <v>1</v>
      </c>
      <c r="I10">
        <v>4.7</v>
      </c>
    </row>
    <row r="11" spans="1:9" x14ac:dyDescent="0.45">
      <c r="A11" s="24" t="s">
        <v>66</v>
      </c>
      <c r="F11">
        <v>1</v>
      </c>
      <c r="G11">
        <v>2.8</v>
      </c>
      <c r="H11">
        <v>1</v>
      </c>
      <c r="I11">
        <v>2.8</v>
      </c>
    </row>
    <row r="12" spans="1:9" x14ac:dyDescent="0.45">
      <c r="A12" s="24" t="s">
        <v>62</v>
      </c>
      <c r="B12">
        <v>1</v>
      </c>
      <c r="C12">
        <v>3.8</v>
      </c>
      <c r="H12">
        <v>1</v>
      </c>
      <c r="I12">
        <v>3.8</v>
      </c>
    </row>
    <row r="13" spans="1:9" x14ac:dyDescent="0.45">
      <c r="A13" s="24" t="s">
        <v>14</v>
      </c>
      <c r="B13">
        <v>1</v>
      </c>
      <c r="C13">
        <v>3.8</v>
      </c>
      <c r="H13">
        <v>1</v>
      </c>
      <c r="I13">
        <v>3.8</v>
      </c>
    </row>
    <row r="14" spans="1:9" x14ac:dyDescent="0.45">
      <c r="A14" s="24" t="s">
        <v>11</v>
      </c>
      <c r="D14">
        <v>1</v>
      </c>
      <c r="E14">
        <v>4.5999999999999996</v>
      </c>
      <c r="H14">
        <v>1</v>
      </c>
      <c r="I14">
        <v>4.5999999999999996</v>
      </c>
    </row>
    <row r="15" spans="1:9" x14ac:dyDescent="0.45">
      <c r="A15" s="24" t="s">
        <v>106</v>
      </c>
      <c r="B15">
        <v>1</v>
      </c>
      <c r="C15">
        <v>3.8</v>
      </c>
      <c r="H15">
        <v>1</v>
      </c>
      <c r="I15">
        <v>3.8</v>
      </c>
    </row>
    <row r="16" spans="1:9" x14ac:dyDescent="0.45">
      <c r="A16" s="24" t="s">
        <v>85</v>
      </c>
      <c r="B16">
        <v>1</v>
      </c>
      <c r="C16">
        <v>3.8</v>
      </c>
      <c r="H16">
        <v>1</v>
      </c>
      <c r="I16">
        <v>3.8</v>
      </c>
    </row>
    <row r="17" spans="1:9" x14ac:dyDescent="0.45">
      <c r="A17" s="24" t="s">
        <v>10</v>
      </c>
      <c r="B17">
        <v>1</v>
      </c>
      <c r="C17">
        <v>4</v>
      </c>
      <c r="H17">
        <v>1</v>
      </c>
      <c r="I17">
        <v>4</v>
      </c>
    </row>
    <row r="18" spans="1:9" x14ac:dyDescent="0.45">
      <c r="A18" s="24" t="s">
        <v>105</v>
      </c>
      <c r="B18">
        <v>1</v>
      </c>
      <c r="C18">
        <v>3.8</v>
      </c>
      <c r="H18">
        <v>1</v>
      </c>
      <c r="I18">
        <v>3.8</v>
      </c>
    </row>
    <row r="19" spans="1:9" x14ac:dyDescent="0.45">
      <c r="A19" s="24" t="s">
        <v>96</v>
      </c>
      <c r="B19">
        <v>1</v>
      </c>
      <c r="C19">
        <v>3.8</v>
      </c>
      <c r="H19">
        <v>1</v>
      </c>
      <c r="I19">
        <v>3.8</v>
      </c>
    </row>
    <row r="20" spans="1:9" x14ac:dyDescent="0.45">
      <c r="A20" s="24" t="s">
        <v>52</v>
      </c>
      <c r="B20">
        <v>1</v>
      </c>
      <c r="C20">
        <v>3.8</v>
      </c>
      <c r="H20">
        <v>1</v>
      </c>
      <c r="I20">
        <v>3.8</v>
      </c>
    </row>
    <row r="21" spans="1:9" x14ac:dyDescent="0.45">
      <c r="A21" s="24" t="s">
        <v>78</v>
      </c>
      <c r="B21">
        <v>1</v>
      </c>
      <c r="C21">
        <v>3.8</v>
      </c>
      <c r="H21">
        <v>1</v>
      </c>
      <c r="I21">
        <v>3.8</v>
      </c>
    </row>
    <row r="22" spans="1:9" x14ac:dyDescent="0.45">
      <c r="A22" s="24" t="s">
        <v>71</v>
      </c>
      <c r="B22">
        <v>1</v>
      </c>
      <c r="C22">
        <v>3</v>
      </c>
      <c r="H22">
        <v>1</v>
      </c>
      <c r="I22">
        <v>3</v>
      </c>
    </row>
    <row r="23" spans="1:9" x14ac:dyDescent="0.45">
      <c r="A23" s="24" t="s">
        <v>70</v>
      </c>
      <c r="F23">
        <v>1</v>
      </c>
      <c r="G23">
        <v>2.2999999999999998</v>
      </c>
      <c r="H23">
        <v>1</v>
      </c>
      <c r="I23">
        <v>2.2999999999999998</v>
      </c>
    </row>
    <row r="24" spans="1:9" x14ac:dyDescent="0.45">
      <c r="A24" s="24" t="s">
        <v>24</v>
      </c>
      <c r="D24">
        <v>1</v>
      </c>
      <c r="E24">
        <v>4.5999999999999996</v>
      </c>
      <c r="H24">
        <v>1</v>
      </c>
      <c r="I24">
        <v>4.5999999999999996</v>
      </c>
    </row>
    <row r="25" spans="1:9" x14ac:dyDescent="0.45">
      <c r="A25" s="24" t="s">
        <v>79</v>
      </c>
      <c r="B25">
        <v>1</v>
      </c>
      <c r="C25">
        <v>3.8</v>
      </c>
      <c r="H25">
        <v>1</v>
      </c>
      <c r="I25">
        <v>3.8</v>
      </c>
    </row>
    <row r="26" spans="1:9" x14ac:dyDescent="0.45">
      <c r="A26" s="24" t="s">
        <v>25</v>
      </c>
      <c r="B26">
        <v>1</v>
      </c>
      <c r="C26">
        <v>3.3</v>
      </c>
      <c r="H26">
        <v>1</v>
      </c>
      <c r="I26">
        <v>3.3</v>
      </c>
    </row>
    <row r="27" spans="1:9" x14ac:dyDescent="0.45">
      <c r="A27" s="24" t="s">
        <v>99</v>
      </c>
      <c r="B27">
        <v>1</v>
      </c>
      <c r="C27">
        <v>3.8</v>
      </c>
      <c r="H27">
        <v>1</v>
      </c>
      <c r="I27">
        <v>3.8</v>
      </c>
    </row>
    <row r="28" spans="1:9" x14ac:dyDescent="0.45">
      <c r="A28" s="24" t="s">
        <v>17</v>
      </c>
      <c r="D28">
        <v>1</v>
      </c>
      <c r="E28">
        <v>4.8</v>
      </c>
      <c r="H28">
        <v>1</v>
      </c>
      <c r="I28">
        <v>4.8</v>
      </c>
    </row>
    <row r="29" spans="1:9" x14ac:dyDescent="0.45">
      <c r="A29" s="24" t="s">
        <v>45</v>
      </c>
      <c r="B29">
        <v>1</v>
      </c>
      <c r="C29">
        <v>3.8</v>
      </c>
      <c r="H29">
        <v>1</v>
      </c>
      <c r="I29">
        <v>3.8</v>
      </c>
    </row>
    <row r="30" spans="1:9" x14ac:dyDescent="0.45">
      <c r="A30" s="24" t="s">
        <v>26</v>
      </c>
      <c r="B30">
        <v>1</v>
      </c>
      <c r="C30">
        <v>3.3</v>
      </c>
      <c r="H30">
        <v>1</v>
      </c>
      <c r="I30">
        <v>3.3</v>
      </c>
    </row>
    <row r="31" spans="1:9" x14ac:dyDescent="0.45">
      <c r="A31" s="24" t="s">
        <v>63</v>
      </c>
      <c r="F31">
        <v>1</v>
      </c>
      <c r="G31">
        <v>2.5</v>
      </c>
      <c r="H31">
        <v>1</v>
      </c>
      <c r="I31">
        <v>2.5</v>
      </c>
    </row>
    <row r="32" spans="1:9" x14ac:dyDescent="0.45">
      <c r="A32" s="24" t="s">
        <v>33</v>
      </c>
      <c r="B32">
        <v>1</v>
      </c>
      <c r="C32">
        <v>4.0999999999999996</v>
      </c>
      <c r="H32">
        <v>1</v>
      </c>
      <c r="I32">
        <v>4.0999999999999996</v>
      </c>
    </row>
    <row r="33" spans="1:9" x14ac:dyDescent="0.45">
      <c r="A33" s="24" t="s">
        <v>39</v>
      </c>
      <c r="D33">
        <v>1</v>
      </c>
      <c r="E33">
        <v>4.5</v>
      </c>
      <c r="H33">
        <v>1</v>
      </c>
      <c r="I33">
        <v>4.5</v>
      </c>
    </row>
    <row r="34" spans="1:9" x14ac:dyDescent="0.45">
      <c r="A34" s="24" t="s">
        <v>38</v>
      </c>
      <c r="D34">
        <v>1</v>
      </c>
      <c r="E34">
        <v>4.7</v>
      </c>
      <c r="H34">
        <v>1</v>
      </c>
      <c r="I34">
        <v>4.7</v>
      </c>
    </row>
    <row r="35" spans="1:9" x14ac:dyDescent="0.45">
      <c r="A35" s="24" t="s">
        <v>84</v>
      </c>
      <c r="B35">
        <v>1</v>
      </c>
      <c r="C35">
        <v>3.8</v>
      </c>
      <c r="H35">
        <v>1</v>
      </c>
      <c r="I35">
        <v>3.8</v>
      </c>
    </row>
    <row r="36" spans="1:9" x14ac:dyDescent="0.45">
      <c r="A36" s="24" t="s">
        <v>65</v>
      </c>
      <c r="F36">
        <v>1</v>
      </c>
      <c r="G36">
        <v>2.1</v>
      </c>
      <c r="H36">
        <v>1</v>
      </c>
      <c r="I36">
        <v>2.1</v>
      </c>
    </row>
    <row r="37" spans="1:9" x14ac:dyDescent="0.45">
      <c r="A37" s="24" t="s">
        <v>111</v>
      </c>
      <c r="B37">
        <v>1</v>
      </c>
      <c r="C37">
        <v>3.8</v>
      </c>
      <c r="H37">
        <v>1</v>
      </c>
      <c r="I37">
        <v>3.8</v>
      </c>
    </row>
    <row r="38" spans="1:9" x14ac:dyDescent="0.45">
      <c r="A38" s="24" t="s">
        <v>95</v>
      </c>
      <c r="B38">
        <v>1</v>
      </c>
      <c r="C38">
        <v>3.8</v>
      </c>
      <c r="H38">
        <v>1</v>
      </c>
      <c r="I38">
        <v>3.8</v>
      </c>
    </row>
    <row r="39" spans="1:9" x14ac:dyDescent="0.45">
      <c r="A39" s="24" t="s">
        <v>50</v>
      </c>
      <c r="B39">
        <v>1</v>
      </c>
      <c r="C39">
        <v>3.8</v>
      </c>
      <c r="H39">
        <v>1</v>
      </c>
      <c r="I39">
        <v>3.8</v>
      </c>
    </row>
    <row r="40" spans="1:9" x14ac:dyDescent="0.45">
      <c r="A40" s="24" t="s">
        <v>81</v>
      </c>
      <c r="B40">
        <v>1</v>
      </c>
      <c r="C40">
        <v>3.8</v>
      </c>
      <c r="H40">
        <v>1</v>
      </c>
      <c r="I40">
        <v>3.8</v>
      </c>
    </row>
    <row r="41" spans="1:9" x14ac:dyDescent="0.45">
      <c r="A41" s="24" t="s">
        <v>76</v>
      </c>
      <c r="F41">
        <v>1</v>
      </c>
      <c r="G41">
        <v>2.2000000000000002</v>
      </c>
      <c r="H41">
        <v>1</v>
      </c>
      <c r="I41">
        <v>2.2000000000000002</v>
      </c>
    </row>
    <row r="42" spans="1:9" x14ac:dyDescent="0.45">
      <c r="A42" s="24" t="s">
        <v>102</v>
      </c>
      <c r="B42">
        <v>1</v>
      </c>
      <c r="C42">
        <v>3.8</v>
      </c>
      <c r="H42">
        <v>1</v>
      </c>
      <c r="I42">
        <v>3.8</v>
      </c>
    </row>
    <row r="43" spans="1:9" x14ac:dyDescent="0.45">
      <c r="A43" s="24" t="s">
        <v>104</v>
      </c>
      <c r="B43">
        <v>1</v>
      </c>
      <c r="C43">
        <v>3.8</v>
      </c>
      <c r="H43">
        <v>1</v>
      </c>
      <c r="I43">
        <v>3.8</v>
      </c>
    </row>
    <row r="44" spans="1:9" x14ac:dyDescent="0.45">
      <c r="A44" s="24" t="s">
        <v>72</v>
      </c>
      <c r="F44">
        <v>1</v>
      </c>
      <c r="G44">
        <v>2.6</v>
      </c>
      <c r="H44">
        <v>1</v>
      </c>
      <c r="I44">
        <v>2.6</v>
      </c>
    </row>
    <row r="45" spans="1:9" x14ac:dyDescent="0.45">
      <c r="A45" s="24" t="s">
        <v>61</v>
      </c>
      <c r="B45">
        <v>1</v>
      </c>
      <c r="C45">
        <v>3.8</v>
      </c>
      <c r="H45">
        <v>1</v>
      </c>
      <c r="I45">
        <v>3.8</v>
      </c>
    </row>
    <row r="46" spans="1:9" x14ac:dyDescent="0.45">
      <c r="A46" s="24" t="s">
        <v>20</v>
      </c>
      <c r="D46">
        <v>1</v>
      </c>
      <c r="E46">
        <v>5</v>
      </c>
      <c r="H46">
        <v>1</v>
      </c>
      <c r="I46">
        <v>5</v>
      </c>
    </row>
    <row r="47" spans="1:9" x14ac:dyDescent="0.45">
      <c r="A47" s="24" t="s">
        <v>69</v>
      </c>
      <c r="F47">
        <v>1</v>
      </c>
      <c r="G47">
        <v>2.2000000000000002</v>
      </c>
      <c r="H47">
        <v>1</v>
      </c>
      <c r="I47">
        <v>2.2000000000000002</v>
      </c>
    </row>
    <row r="48" spans="1:9" x14ac:dyDescent="0.45">
      <c r="A48" s="24" t="s">
        <v>101</v>
      </c>
      <c r="B48">
        <v>1</v>
      </c>
      <c r="C48">
        <v>3.8</v>
      </c>
      <c r="H48">
        <v>1</v>
      </c>
      <c r="I48">
        <v>3.8</v>
      </c>
    </row>
    <row r="49" spans="1:9" x14ac:dyDescent="0.45">
      <c r="A49" s="24" t="s">
        <v>47</v>
      </c>
      <c r="B49">
        <v>1</v>
      </c>
      <c r="C49">
        <v>3.8</v>
      </c>
      <c r="H49">
        <v>1</v>
      </c>
      <c r="I49">
        <v>3.8</v>
      </c>
    </row>
    <row r="50" spans="1:9" x14ac:dyDescent="0.45">
      <c r="A50" s="24" t="s">
        <v>83</v>
      </c>
      <c r="D50">
        <v>1</v>
      </c>
      <c r="E50">
        <v>5</v>
      </c>
      <c r="H50">
        <v>1</v>
      </c>
      <c r="I50">
        <v>5</v>
      </c>
    </row>
    <row r="51" spans="1:9" x14ac:dyDescent="0.45">
      <c r="A51" s="24" t="s">
        <v>113</v>
      </c>
      <c r="B51">
        <v>1</v>
      </c>
      <c r="C51">
        <v>3.8</v>
      </c>
      <c r="H51">
        <v>1</v>
      </c>
      <c r="I51">
        <v>3.8</v>
      </c>
    </row>
    <row r="52" spans="1:9" x14ac:dyDescent="0.45">
      <c r="A52" s="24" t="s">
        <v>54</v>
      </c>
      <c r="B52">
        <v>1</v>
      </c>
      <c r="C52">
        <v>3.8</v>
      </c>
      <c r="H52">
        <v>1</v>
      </c>
      <c r="I52">
        <v>3.8</v>
      </c>
    </row>
    <row r="53" spans="1:9" x14ac:dyDescent="0.45">
      <c r="A53" s="24" t="s">
        <v>51</v>
      </c>
      <c r="B53">
        <v>1</v>
      </c>
      <c r="C53">
        <v>3.8</v>
      </c>
      <c r="H53">
        <v>1</v>
      </c>
      <c r="I53">
        <v>3.8</v>
      </c>
    </row>
    <row r="54" spans="1:9" x14ac:dyDescent="0.45">
      <c r="A54" s="24" t="s">
        <v>88</v>
      </c>
      <c r="B54">
        <v>1</v>
      </c>
      <c r="C54">
        <v>3.8</v>
      </c>
      <c r="H54">
        <v>1</v>
      </c>
      <c r="I54">
        <v>3.8</v>
      </c>
    </row>
    <row r="55" spans="1:9" x14ac:dyDescent="0.45">
      <c r="A55" s="24" t="s">
        <v>108</v>
      </c>
      <c r="B55">
        <v>1</v>
      </c>
      <c r="C55">
        <v>3.8</v>
      </c>
      <c r="H55">
        <v>1</v>
      </c>
      <c r="I55">
        <v>3.8</v>
      </c>
    </row>
    <row r="56" spans="1:9" x14ac:dyDescent="0.45">
      <c r="A56" s="24" t="s">
        <v>49</v>
      </c>
      <c r="B56">
        <v>1</v>
      </c>
      <c r="C56">
        <v>3.8</v>
      </c>
      <c r="H56">
        <v>1</v>
      </c>
      <c r="I56">
        <v>3.8</v>
      </c>
    </row>
    <row r="57" spans="1:9" x14ac:dyDescent="0.45">
      <c r="A57" s="24" t="s">
        <v>60</v>
      </c>
      <c r="B57">
        <v>1</v>
      </c>
      <c r="C57">
        <v>3.8</v>
      </c>
      <c r="H57">
        <v>1</v>
      </c>
      <c r="I57">
        <v>3.8</v>
      </c>
    </row>
    <row r="58" spans="1:9" x14ac:dyDescent="0.45">
      <c r="A58" s="24" t="s">
        <v>41</v>
      </c>
      <c r="D58">
        <v>1</v>
      </c>
      <c r="E58">
        <v>5</v>
      </c>
      <c r="H58">
        <v>1</v>
      </c>
      <c r="I58">
        <v>5</v>
      </c>
    </row>
    <row r="59" spans="1:9" x14ac:dyDescent="0.45">
      <c r="A59" s="24" t="s">
        <v>53</v>
      </c>
      <c r="B59">
        <v>1</v>
      </c>
      <c r="C59">
        <v>3.8</v>
      </c>
      <c r="H59">
        <v>1</v>
      </c>
      <c r="I59">
        <v>3.8</v>
      </c>
    </row>
    <row r="60" spans="1:9" x14ac:dyDescent="0.45">
      <c r="A60" s="24" t="s">
        <v>80</v>
      </c>
      <c r="B60">
        <v>1</v>
      </c>
      <c r="C60">
        <v>3.8</v>
      </c>
      <c r="H60">
        <v>1</v>
      </c>
      <c r="I60">
        <v>3.8</v>
      </c>
    </row>
    <row r="61" spans="1:9" x14ac:dyDescent="0.45">
      <c r="A61" s="24" t="s">
        <v>58</v>
      </c>
      <c r="B61">
        <v>1</v>
      </c>
      <c r="C61">
        <v>3.8</v>
      </c>
      <c r="H61">
        <v>1</v>
      </c>
      <c r="I61">
        <v>3.8</v>
      </c>
    </row>
    <row r="62" spans="1:9" x14ac:dyDescent="0.45">
      <c r="A62" s="24" t="s">
        <v>12</v>
      </c>
      <c r="B62">
        <v>1</v>
      </c>
      <c r="C62">
        <v>4</v>
      </c>
      <c r="H62">
        <v>1</v>
      </c>
      <c r="I62">
        <v>4</v>
      </c>
    </row>
    <row r="63" spans="1:9" x14ac:dyDescent="0.45">
      <c r="A63" s="24" t="s">
        <v>40</v>
      </c>
      <c r="D63">
        <v>1</v>
      </c>
      <c r="E63">
        <v>5</v>
      </c>
      <c r="H63">
        <v>1</v>
      </c>
      <c r="I63">
        <v>5</v>
      </c>
    </row>
    <row r="64" spans="1:9" x14ac:dyDescent="0.45">
      <c r="A64" s="24" t="s">
        <v>77</v>
      </c>
      <c r="F64">
        <v>1</v>
      </c>
      <c r="G64">
        <v>2.1</v>
      </c>
      <c r="H64">
        <v>1</v>
      </c>
      <c r="I64">
        <v>2.1</v>
      </c>
    </row>
    <row r="65" spans="1:9" x14ac:dyDescent="0.45">
      <c r="A65" s="24" t="s">
        <v>30</v>
      </c>
      <c r="D65">
        <v>1</v>
      </c>
      <c r="E65">
        <v>4.5999999999999996</v>
      </c>
      <c r="H65">
        <v>1</v>
      </c>
      <c r="I65">
        <v>4.5999999999999996</v>
      </c>
    </row>
    <row r="66" spans="1:9" x14ac:dyDescent="0.45">
      <c r="A66" s="24" t="s">
        <v>35</v>
      </c>
      <c r="B66">
        <v>1</v>
      </c>
      <c r="C66">
        <v>4.3</v>
      </c>
      <c r="H66">
        <v>1</v>
      </c>
      <c r="I66">
        <v>4.3</v>
      </c>
    </row>
    <row r="67" spans="1:9" x14ac:dyDescent="0.45">
      <c r="A67" s="24" t="s">
        <v>28</v>
      </c>
      <c r="B67">
        <v>1</v>
      </c>
      <c r="C67">
        <v>4.4000000000000004</v>
      </c>
      <c r="H67">
        <v>1</v>
      </c>
      <c r="I67">
        <v>4.4000000000000004</v>
      </c>
    </row>
    <row r="68" spans="1:9" x14ac:dyDescent="0.45">
      <c r="A68" s="24" t="s">
        <v>15</v>
      </c>
      <c r="B68">
        <v>1</v>
      </c>
      <c r="C68">
        <v>4.0999999999999996</v>
      </c>
      <c r="H68">
        <v>1</v>
      </c>
      <c r="I68">
        <v>4.0999999999999996</v>
      </c>
    </row>
    <row r="69" spans="1:9" x14ac:dyDescent="0.45">
      <c r="A69" s="24" t="s">
        <v>86</v>
      </c>
      <c r="B69">
        <v>1</v>
      </c>
      <c r="C69">
        <v>4</v>
      </c>
      <c r="H69">
        <v>1</v>
      </c>
      <c r="I69">
        <v>4</v>
      </c>
    </row>
    <row r="70" spans="1:9" x14ac:dyDescent="0.45">
      <c r="A70" s="24" t="s">
        <v>67</v>
      </c>
      <c r="F70">
        <v>1</v>
      </c>
      <c r="G70">
        <v>2.7</v>
      </c>
      <c r="H70">
        <v>1</v>
      </c>
      <c r="I70">
        <v>2.7</v>
      </c>
    </row>
    <row r="71" spans="1:9" x14ac:dyDescent="0.45">
      <c r="A71" s="24" t="s">
        <v>103</v>
      </c>
      <c r="D71">
        <v>1</v>
      </c>
      <c r="E71">
        <v>5</v>
      </c>
      <c r="H71">
        <v>1</v>
      </c>
      <c r="I71">
        <v>5</v>
      </c>
    </row>
    <row r="72" spans="1:9" x14ac:dyDescent="0.45">
      <c r="A72" s="24" t="s">
        <v>73</v>
      </c>
      <c r="B72">
        <v>1</v>
      </c>
      <c r="C72">
        <v>3</v>
      </c>
      <c r="H72">
        <v>1</v>
      </c>
      <c r="I72">
        <v>3</v>
      </c>
    </row>
    <row r="73" spans="1:9" x14ac:dyDescent="0.45">
      <c r="A73" s="24" t="s">
        <v>29</v>
      </c>
      <c r="B73">
        <v>1</v>
      </c>
      <c r="C73">
        <v>4.3</v>
      </c>
      <c r="H73">
        <v>1</v>
      </c>
      <c r="I73">
        <v>4.3</v>
      </c>
    </row>
    <row r="74" spans="1:9" x14ac:dyDescent="0.45">
      <c r="A74" s="24" t="s">
        <v>22</v>
      </c>
      <c r="D74">
        <v>1</v>
      </c>
      <c r="E74">
        <v>5</v>
      </c>
      <c r="H74">
        <v>1</v>
      </c>
      <c r="I74">
        <v>5</v>
      </c>
    </row>
    <row r="75" spans="1:9" x14ac:dyDescent="0.45">
      <c r="A75" s="24" t="s">
        <v>18</v>
      </c>
      <c r="D75">
        <v>1</v>
      </c>
      <c r="E75">
        <v>4.5</v>
      </c>
      <c r="H75">
        <v>1</v>
      </c>
      <c r="I75">
        <v>4.5</v>
      </c>
    </row>
    <row r="76" spans="1:9" x14ac:dyDescent="0.45">
      <c r="A76" s="24" t="s">
        <v>13</v>
      </c>
      <c r="D76">
        <v>1</v>
      </c>
      <c r="E76">
        <v>4.8</v>
      </c>
      <c r="H76">
        <v>1</v>
      </c>
      <c r="I76">
        <v>4.8</v>
      </c>
    </row>
    <row r="77" spans="1:9" x14ac:dyDescent="0.45">
      <c r="A77" s="24" t="s">
        <v>44</v>
      </c>
      <c r="B77">
        <v>1</v>
      </c>
      <c r="C77">
        <v>3.8</v>
      </c>
      <c r="H77">
        <v>1</v>
      </c>
      <c r="I77">
        <v>3.8</v>
      </c>
    </row>
    <row r="78" spans="1:9" x14ac:dyDescent="0.45">
      <c r="A78" s="24" t="s">
        <v>37</v>
      </c>
      <c r="B78">
        <v>1</v>
      </c>
      <c r="C78">
        <v>4.3</v>
      </c>
      <c r="H78">
        <v>1</v>
      </c>
      <c r="I78">
        <v>4.3</v>
      </c>
    </row>
    <row r="79" spans="1:9" x14ac:dyDescent="0.45">
      <c r="A79" s="24" t="s">
        <v>27</v>
      </c>
      <c r="B79">
        <v>1</v>
      </c>
      <c r="C79">
        <v>4</v>
      </c>
      <c r="H79">
        <v>1</v>
      </c>
      <c r="I79">
        <v>4</v>
      </c>
    </row>
    <row r="80" spans="1:9" x14ac:dyDescent="0.45">
      <c r="A80" s="24" t="s">
        <v>107</v>
      </c>
      <c r="B80">
        <v>1</v>
      </c>
      <c r="C80">
        <v>3.8</v>
      </c>
      <c r="H80">
        <v>1</v>
      </c>
      <c r="I80">
        <v>3.8</v>
      </c>
    </row>
    <row r="81" spans="1:9" x14ac:dyDescent="0.45">
      <c r="A81" s="24" t="s">
        <v>23</v>
      </c>
      <c r="D81">
        <v>1</v>
      </c>
      <c r="E81">
        <v>4.5999999999999996</v>
      </c>
      <c r="H81">
        <v>1</v>
      </c>
      <c r="I81">
        <v>4.5999999999999996</v>
      </c>
    </row>
    <row r="82" spans="1:9" x14ac:dyDescent="0.45">
      <c r="A82" s="24" t="s">
        <v>82</v>
      </c>
      <c r="B82">
        <v>1</v>
      </c>
      <c r="C82">
        <v>3</v>
      </c>
      <c r="H82">
        <v>1</v>
      </c>
      <c r="I82">
        <v>3</v>
      </c>
    </row>
    <row r="83" spans="1:9" x14ac:dyDescent="0.45">
      <c r="A83" s="24" t="s">
        <v>6</v>
      </c>
      <c r="B83">
        <v>1</v>
      </c>
      <c r="C83">
        <v>4.0999999999999996</v>
      </c>
      <c r="H83">
        <v>1</v>
      </c>
      <c r="I83">
        <v>4.0999999999999996</v>
      </c>
    </row>
    <row r="84" spans="1:9" x14ac:dyDescent="0.45">
      <c r="A84" s="24" t="s">
        <v>100</v>
      </c>
      <c r="B84">
        <v>1</v>
      </c>
      <c r="C84">
        <v>3.8</v>
      </c>
      <c r="H84">
        <v>1</v>
      </c>
      <c r="I84">
        <v>3.8</v>
      </c>
    </row>
    <row r="85" spans="1:9" x14ac:dyDescent="0.45">
      <c r="A85" s="24" t="s">
        <v>46</v>
      </c>
      <c r="B85">
        <v>1</v>
      </c>
      <c r="C85">
        <v>3.8</v>
      </c>
      <c r="H85">
        <v>1</v>
      </c>
      <c r="I85">
        <v>3.8</v>
      </c>
    </row>
    <row r="86" spans="1:9" x14ac:dyDescent="0.45">
      <c r="A86" s="24" t="s">
        <v>19</v>
      </c>
      <c r="B86">
        <v>1</v>
      </c>
      <c r="C86">
        <v>4.2</v>
      </c>
      <c r="H86">
        <v>1</v>
      </c>
      <c r="I86">
        <v>4.2</v>
      </c>
    </row>
    <row r="87" spans="1:9" x14ac:dyDescent="0.45">
      <c r="A87" s="24" t="s">
        <v>91</v>
      </c>
      <c r="B87">
        <v>1</v>
      </c>
      <c r="C87">
        <v>3.8</v>
      </c>
      <c r="H87">
        <v>1</v>
      </c>
      <c r="I87">
        <v>3.8</v>
      </c>
    </row>
    <row r="88" spans="1:9" x14ac:dyDescent="0.45">
      <c r="A88" s="24" t="s">
        <v>34</v>
      </c>
      <c r="B88">
        <v>1</v>
      </c>
      <c r="C88">
        <v>3.8</v>
      </c>
      <c r="H88">
        <v>1</v>
      </c>
      <c r="I88">
        <v>3.8</v>
      </c>
    </row>
    <row r="89" spans="1:9" x14ac:dyDescent="0.45">
      <c r="A89" s="24" t="s">
        <v>57</v>
      </c>
      <c r="B89">
        <v>1</v>
      </c>
      <c r="C89">
        <v>3.8</v>
      </c>
      <c r="H89">
        <v>1</v>
      </c>
      <c r="I89">
        <v>3.8</v>
      </c>
    </row>
    <row r="90" spans="1:9" x14ac:dyDescent="0.45">
      <c r="A90" s="24" t="s">
        <v>64</v>
      </c>
      <c r="B90">
        <v>1</v>
      </c>
      <c r="C90">
        <v>3</v>
      </c>
      <c r="H90">
        <v>1</v>
      </c>
      <c r="I90">
        <v>3</v>
      </c>
    </row>
    <row r="91" spans="1:9" x14ac:dyDescent="0.45">
      <c r="A91" s="24" t="s">
        <v>87</v>
      </c>
      <c r="B91">
        <v>1</v>
      </c>
      <c r="C91">
        <v>3.8</v>
      </c>
      <c r="H91">
        <v>1</v>
      </c>
      <c r="I91">
        <v>3.8</v>
      </c>
    </row>
    <row r="92" spans="1:9" x14ac:dyDescent="0.45">
      <c r="A92" s="24" t="s">
        <v>89</v>
      </c>
      <c r="B92">
        <v>1</v>
      </c>
      <c r="C92">
        <v>3.8</v>
      </c>
      <c r="H92">
        <v>1</v>
      </c>
      <c r="I92">
        <v>3.8</v>
      </c>
    </row>
    <row r="93" spans="1:9" x14ac:dyDescent="0.45">
      <c r="A93" s="24" t="s">
        <v>21</v>
      </c>
      <c r="D93">
        <v>1</v>
      </c>
      <c r="E93">
        <v>5</v>
      </c>
      <c r="H93">
        <v>1</v>
      </c>
      <c r="I93">
        <v>5</v>
      </c>
    </row>
    <row r="94" spans="1:9" x14ac:dyDescent="0.45">
      <c r="A94" s="24" t="s">
        <v>55</v>
      </c>
      <c r="B94">
        <v>1</v>
      </c>
      <c r="C94">
        <v>3.8</v>
      </c>
      <c r="H94">
        <v>1</v>
      </c>
      <c r="I94">
        <v>3.8</v>
      </c>
    </row>
    <row r="95" spans="1:9" x14ac:dyDescent="0.45">
      <c r="A95" s="24" t="s">
        <v>56</v>
      </c>
      <c r="B95">
        <v>1</v>
      </c>
      <c r="C95">
        <v>3.8</v>
      </c>
      <c r="H95">
        <v>1</v>
      </c>
      <c r="I95">
        <v>3.8</v>
      </c>
    </row>
    <row r="96" spans="1:9" x14ac:dyDescent="0.45">
      <c r="A96" s="24" t="s">
        <v>9</v>
      </c>
      <c r="D96">
        <v>1</v>
      </c>
      <c r="E96">
        <v>4.8</v>
      </c>
      <c r="H96">
        <v>1</v>
      </c>
      <c r="I96">
        <v>4.8</v>
      </c>
    </row>
    <row r="97" spans="1:9" x14ac:dyDescent="0.45">
      <c r="A97" s="24" t="s">
        <v>7</v>
      </c>
      <c r="D97">
        <v>1</v>
      </c>
      <c r="E97">
        <v>4.5999999999999996</v>
      </c>
      <c r="H97">
        <v>1</v>
      </c>
      <c r="I97">
        <v>4.5999999999999996</v>
      </c>
    </row>
    <row r="98" spans="1:9" x14ac:dyDescent="0.45">
      <c r="A98" s="24" t="s">
        <v>98</v>
      </c>
      <c r="B98">
        <v>1</v>
      </c>
      <c r="C98">
        <v>3.8</v>
      </c>
      <c r="H98">
        <v>1</v>
      </c>
      <c r="I98">
        <v>3.8</v>
      </c>
    </row>
    <row r="99" spans="1:9" x14ac:dyDescent="0.45">
      <c r="A99" s="24" t="s">
        <v>31</v>
      </c>
      <c r="B99">
        <v>1</v>
      </c>
      <c r="C99">
        <v>3.8</v>
      </c>
      <c r="H99">
        <v>1</v>
      </c>
      <c r="I99">
        <v>3.8</v>
      </c>
    </row>
    <row r="100" spans="1:9" x14ac:dyDescent="0.45">
      <c r="A100" s="24" t="s">
        <v>93</v>
      </c>
      <c r="B100">
        <v>1</v>
      </c>
      <c r="C100">
        <v>3.8</v>
      </c>
      <c r="H100">
        <v>1</v>
      </c>
      <c r="I100">
        <v>3.8</v>
      </c>
    </row>
    <row r="101" spans="1:9" x14ac:dyDescent="0.45">
      <c r="A101" s="24" t="s">
        <v>42</v>
      </c>
      <c r="B101">
        <v>1</v>
      </c>
      <c r="C101">
        <v>4.3</v>
      </c>
      <c r="H101">
        <v>1</v>
      </c>
      <c r="I101">
        <v>4.3</v>
      </c>
    </row>
    <row r="102" spans="1:9" x14ac:dyDescent="0.45">
      <c r="A102" s="24" t="s">
        <v>94</v>
      </c>
      <c r="B102">
        <v>1</v>
      </c>
      <c r="C102">
        <v>3.8</v>
      </c>
      <c r="H102">
        <v>1</v>
      </c>
      <c r="I102">
        <v>3.8</v>
      </c>
    </row>
    <row r="103" spans="1:9" x14ac:dyDescent="0.45">
      <c r="A103" s="24" t="s">
        <v>48</v>
      </c>
      <c r="B103">
        <v>1</v>
      </c>
      <c r="C103">
        <v>3.8</v>
      </c>
      <c r="H103">
        <v>1</v>
      </c>
      <c r="I103">
        <v>3.8</v>
      </c>
    </row>
    <row r="104" spans="1:9" x14ac:dyDescent="0.45">
      <c r="A104" s="24" t="s">
        <v>109</v>
      </c>
      <c r="B104">
        <v>1</v>
      </c>
      <c r="C104">
        <v>3.8</v>
      </c>
      <c r="H104">
        <v>1</v>
      </c>
      <c r="I104">
        <v>3.8</v>
      </c>
    </row>
    <row r="105" spans="1:9" x14ac:dyDescent="0.45">
      <c r="A105" s="24" t="s">
        <v>59</v>
      </c>
      <c r="B105">
        <v>1</v>
      </c>
      <c r="C105">
        <v>3.8</v>
      </c>
      <c r="H105">
        <v>1</v>
      </c>
      <c r="I105">
        <v>3.8</v>
      </c>
    </row>
    <row r="106" spans="1:9" x14ac:dyDescent="0.45">
      <c r="A106" s="24" t="s">
        <v>110</v>
      </c>
      <c r="B106">
        <v>1</v>
      </c>
      <c r="C106">
        <v>3.8</v>
      </c>
      <c r="H106">
        <v>1</v>
      </c>
      <c r="I106">
        <v>3.8</v>
      </c>
    </row>
    <row r="107" spans="1:9" x14ac:dyDescent="0.45">
      <c r="A107" s="24" t="s">
        <v>68</v>
      </c>
      <c r="F107">
        <v>1</v>
      </c>
      <c r="G107">
        <v>2.9</v>
      </c>
      <c r="H107">
        <v>1</v>
      </c>
      <c r="I107">
        <v>2.9</v>
      </c>
    </row>
    <row r="108" spans="1:9" x14ac:dyDescent="0.45">
      <c r="A108" s="24" t="s">
        <v>92</v>
      </c>
      <c r="B108">
        <v>1</v>
      </c>
      <c r="C108">
        <v>3.8</v>
      </c>
      <c r="H108">
        <v>1</v>
      </c>
      <c r="I108">
        <v>3.8</v>
      </c>
    </row>
    <row r="109" spans="1:9" x14ac:dyDescent="0.45">
      <c r="A109" s="24" t="s">
        <v>97</v>
      </c>
      <c r="B109">
        <v>1</v>
      </c>
      <c r="C109">
        <v>3.8</v>
      </c>
      <c r="H109">
        <v>1</v>
      </c>
      <c r="I109">
        <v>3.8</v>
      </c>
    </row>
    <row r="110" spans="1:9" x14ac:dyDescent="0.45">
      <c r="A110" s="24" t="s">
        <v>112</v>
      </c>
      <c r="F110">
        <v>1</v>
      </c>
      <c r="G110">
        <v>2</v>
      </c>
      <c r="H110">
        <v>1</v>
      </c>
      <c r="I110">
        <v>2</v>
      </c>
    </row>
    <row r="111" spans="1:9" x14ac:dyDescent="0.45">
      <c r="A111" s="24" t="s">
        <v>90</v>
      </c>
      <c r="B111">
        <v>1</v>
      </c>
      <c r="C111">
        <v>3.8</v>
      </c>
      <c r="H111">
        <v>1</v>
      </c>
      <c r="I111">
        <v>3.8</v>
      </c>
    </row>
    <row r="112" spans="1:9" x14ac:dyDescent="0.45">
      <c r="A112" s="24" t="s">
        <v>74</v>
      </c>
      <c r="F112">
        <v>1</v>
      </c>
      <c r="G112">
        <v>2.2999999999999998</v>
      </c>
      <c r="H112">
        <v>1</v>
      </c>
      <c r="I112">
        <v>2.2999999999999998</v>
      </c>
    </row>
    <row r="113" spans="1:9" x14ac:dyDescent="0.45">
      <c r="A113" s="24" t="s">
        <v>8</v>
      </c>
      <c r="D113">
        <v>1</v>
      </c>
      <c r="E113">
        <v>4.7</v>
      </c>
      <c r="H113">
        <v>1</v>
      </c>
      <c r="I113">
        <v>4.7</v>
      </c>
    </row>
    <row r="114" spans="1:9" x14ac:dyDescent="0.45">
      <c r="A114" s="24" t="s">
        <v>75</v>
      </c>
      <c r="B114">
        <v>1</v>
      </c>
      <c r="C114">
        <v>3</v>
      </c>
      <c r="H114">
        <v>1</v>
      </c>
      <c r="I114">
        <v>3</v>
      </c>
    </row>
    <row r="115" spans="1:9" x14ac:dyDescent="0.45">
      <c r="A115" s="24" t="s">
        <v>129</v>
      </c>
      <c r="B115">
        <v>74</v>
      </c>
      <c r="C115">
        <v>280.9000000000002</v>
      </c>
      <c r="D115">
        <v>23</v>
      </c>
      <c r="E115">
        <v>109.19999999999999</v>
      </c>
      <c r="F115">
        <v>12</v>
      </c>
      <c r="G115">
        <v>28.7</v>
      </c>
      <c r="H115">
        <v>109</v>
      </c>
      <c r="I115">
        <v>418.80000000000041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20"/>
  <sheetViews>
    <sheetView topLeftCell="B101" zoomScale="95" workbookViewId="0">
      <selection activeCell="E116" sqref="E116"/>
    </sheetView>
  </sheetViews>
  <sheetFormatPr defaultRowHeight="14.25" x14ac:dyDescent="0.45"/>
  <cols>
    <col min="1" max="1" width="13.796875" bestFit="1" customWidth="1"/>
    <col min="2" max="3" width="14.3984375" bestFit="1" customWidth="1"/>
    <col min="4" max="4" width="12.265625" bestFit="1" customWidth="1"/>
    <col min="5" max="5" width="14.3984375" bestFit="1" customWidth="1"/>
    <col min="6" max="6" width="28.1328125" bestFit="1" customWidth="1"/>
    <col min="7" max="7" width="56.265625" bestFit="1" customWidth="1"/>
    <col min="8" max="8" width="59.6640625" bestFit="1" customWidth="1"/>
    <col min="9" max="9" width="31.59765625" bestFit="1" customWidth="1"/>
    <col min="10" max="10" width="43.6640625" bestFit="1" customWidth="1"/>
    <col min="11" max="11" width="38.33203125" bestFit="1" customWidth="1"/>
    <col min="12" max="12" width="63.73046875" bestFit="1" customWidth="1"/>
    <col min="13" max="13" width="58.9296875" bestFit="1" customWidth="1"/>
    <col min="14" max="14" width="60.46484375" bestFit="1" customWidth="1"/>
    <col min="15" max="15" width="48.1328125" bestFit="1" customWidth="1"/>
    <col min="16" max="16" width="35.9296875" bestFit="1" customWidth="1"/>
    <col min="17" max="17" width="55.73046875" bestFit="1" customWidth="1"/>
    <col min="18" max="18" width="64.19921875" bestFit="1" customWidth="1"/>
    <col min="19" max="19" width="51.53125" bestFit="1" customWidth="1"/>
    <col min="20" max="20" width="44.46484375" bestFit="1" customWidth="1"/>
    <col min="21" max="21" width="36.796875" bestFit="1" customWidth="1"/>
    <col min="22" max="22" width="45.33203125" bestFit="1" customWidth="1"/>
    <col min="23" max="23" width="40.6640625" bestFit="1" customWidth="1"/>
    <col min="24" max="24" width="33.53125" bestFit="1" customWidth="1"/>
    <col min="25" max="25" width="43.3984375" bestFit="1" customWidth="1"/>
    <col min="26" max="26" width="59" bestFit="1" customWidth="1"/>
    <col min="27" max="27" width="44.06640625" bestFit="1" customWidth="1"/>
    <col min="28" max="28" width="48.796875" bestFit="1" customWidth="1"/>
    <col min="29" max="29" width="51" bestFit="1" customWidth="1"/>
    <col min="30" max="30" width="51.46484375" bestFit="1" customWidth="1"/>
    <col min="31" max="31" width="87.33203125" bestFit="1" customWidth="1"/>
    <col min="32" max="32" width="48.265625" bestFit="1" customWidth="1"/>
    <col min="33" max="33" width="44.9296875" bestFit="1" customWidth="1"/>
    <col min="34" max="34" width="52.9296875" bestFit="1" customWidth="1"/>
    <col min="35" max="35" width="54.73046875" bestFit="1" customWidth="1"/>
    <col min="36" max="36" width="59.06640625" bestFit="1" customWidth="1"/>
    <col min="37" max="37" width="49.59765625" bestFit="1" customWidth="1"/>
    <col min="38" max="38" width="26.86328125" bestFit="1" customWidth="1"/>
    <col min="39" max="39" width="56.9296875" bestFit="1" customWidth="1"/>
    <col min="40" max="40" width="46.53125" bestFit="1" customWidth="1"/>
    <col min="41" max="41" width="50.6640625" bestFit="1" customWidth="1"/>
    <col min="42" max="42" width="47.1328125" bestFit="1" customWidth="1"/>
    <col min="43" max="43" width="50.33203125" bestFit="1" customWidth="1"/>
    <col min="44" max="44" width="51.59765625" bestFit="1" customWidth="1"/>
    <col min="45" max="45" width="44.53125" bestFit="1" customWidth="1"/>
    <col min="46" max="46" width="60.73046875" bestFit="1" customWidth="1"/>
    <col min="47" max="47" width="48.265625" bestFit="1" customWidth="1"/>
    <col min="48" max="48" width="32.1328125" bestFit="1" customWidth="1"/>
    <col min="49" max="49" width="21.86328125" bestFit="1" customWidth="1"/>
    <col min="50" max="50" width="51" bestFit="1" customWidth="1"/>
    <col min="51" max="51" width="57.265625" bestFit="1" customWidth="1"/>
    <col min="52" max="52" width="51.1328125" bestFit="1" customWidth="1"/>
    <col min="53" max="53" width="53.6640625" bestFit="1" customWidth="1"/>
    <col min="54" max="54" width="46.73046875" bestFit="1" customWidth="1"/>
    <col min="55" max="55" width="29.3984375" bestFit="1" customWidth="1"/>
    <col min="56" max="56" width="63.33203125" bestFit="1" customWidth="1"/>
    <col min="57" max="57" width="50.3984375" bestFit="1" customWidth="1"/>
    <col min="58" max="58" width="48.46484375" bestFit="1" customWidth="1"/>
    <col min="59" max="59" width="63" bestFit="1" customWidth="1"/>
    <col min="60" max="60" width="65.796875" bestFit="1" customWidth="1"/>
    <col min="61" max="61" width="33.53125" bestFit="1" customWidth="1"/>
    <col min="62" max="62" width="34.59765625" bestFit="1" customWidth="1"/>
    <col min="63" max="63" width="25.06640625" bestFit="1" customWidth="1"/>
    <col min="64" max="64" width="67.6640625" bestFit="1" customWidth="1"/>
    <col min="65" max="65" width="29.59765625" bestFit="1" customWidth="1"/>
    <col min="66" max="66" width="51.46484375" bestFit="1" customWidth="1"/>
    <col min="67" max="67" width="61.1328125" bestFit="1" customWidth="1"/>
    <col min="68" max="68" width="45.19921875" bestFit="1" customWidth="1"/>
    <col min="69" max="69" width="38.796875" bestFit="1" customWidth="1"/>
    <col min="70" max="70" width="43.46484375" bestFit="1" customWidth="1"/>
    <col min="71" max="71" width="36.73046875" bestFit="1" customWidth="1"/>
    <col min="72" max="72" width="31.796875" bestFit="1" customWidth="1"/>
    <col min="73" max="73" width="53.73046875" bestFit="1" customWidth="1"/>
    <col min="74" max="74" width="64.46484375" bestFit="1" customWidth="1"/>
    <col min="75" max="75" width="67.73046875" bestFit="1" customWidth="1"/>
    <col min="76" max="76" width="28.9296875" bestFit="1" customWidth="1"/>
    <col min="77" max="77" width="54.33203125" bestFit="1" customWidth="1"/>
    <col min="78" max="78" width="51.59765625" bestFit="1" customWidth="1"/>
    <col min="79" max="79" width="66.6640625" bestFit="1" customWidth="1"/>
    <col min="80" max="80" width="65.53125" bestFit="1" customWidth="1"/>
    <col min="81" max="81" width="44.53125" bestFit="1" customWidth="1"/>
    <col min="82" max="82" width="41.9296875" bestFit="1" customWidth="1"/>
    <col min="83" max="83" width="49.46484375" bestFit="1" customWidth="1"/>
    <col min="84" max="84" width="42.86328125" bestFit="1" customWidth="1"/>
    <col min="85" max="85" width="63.53125" bestFit="1" customWidth="1"/>
    <col min="86" max="86" width="68.19921875" bestFit="1" customWidth="1"/>
    <col min="87" max="87" width="64.9296875" bestFit="1" customWidth="1"/>
    <col min="88" max="88" width="55.19921875" bestFit="1" customWidth="1"/>
    <col min="89" max="89" width="42" bestFit="1" customWidth="1"/>
    <col min="90" max="90" width="50.06640625" bestFit="1" customWidth="1"/>
    <col min="91" max="91" width="48.73046875" bestFit="1" customWidth="1"/>
    <col min="92" max="92" width="47.19921875" bestFit="1" customWidth="1"/>
    <col min="93" max="93" width="41.46484375" bestFit="1" customWidth="1"/>
    <col min="94" max="94" width="56.19921875" bestFit="1" customWidth="1"/>
    <col min="95" max="95" width="62.53125" bestFit="1" customWidth="1"/>
    <col min="96" max="96" width="39.1328125" bestFit="1" customWidth="1"/>
    <col min="97" max="97" width="59.86328125" bestFit="1" customWidth="1"/>
    <col min="98" max="98" width="66.265625" bestFit="1" customWidth="1"/>
    <col min="99" max="99" width="51.1328125" bestFit="1" customWidth="1"/>
    <col min="100" max="100" width="68.9296875" bestFit="1" customWidth="1"/>
    <col min="101" max="101" width="50.06640625" bestFit="1" customWidth="1"/>
    <col min="102" max="102" width="62.796875" bestFit="1" customWidth="1"/>
    <col min="103" max="103" width="71.19921875" bestFit="1" customWidth="1"/>
    <col min="104" max="104" width="27.46484375" bestFit="1" customWidth="1"/>
    <col min="105" max="105" width="72.1328125" bestFit="1" customWidth="1"/>
    <col min="106" max="106" width="36.3984375" bestFit="1" customWidth="1"/>
    <col min="107" max="107" width="55" bestFit="1" customWidth="1"/>
    <col min="108" max="108" width="41.59765625" bestFit="1" customWidth="1"/>
    <col min="109" max="109" width="48.46484375" bestFit="1" customWidth="1"/>
    <col min="110" max="110" width="56.46484375" bestFit="1" customWidth="1"/>
    <col min="111" max="111" width="10.19921875" bestFit="1" customWidth="1"/>
  </cols>
  <sheetData>
    <row r="2" spans="1:2" x14ac:dyDescent="0.45">
      <c r="A2" s="23" t="s">
        <v>114</v>
      </c>
      <c r="B2" t="s">
        <v>135</v>
      </c>
    </row>
    <row r="3" spans="1:2" x14ac:dyDescent="0.45">
      <c r="A3" s="23" t="s">
        <v>120</v>
      </c>
      <c r="B3" t="s">
        <v>135</v>
      </c>
    </row>
    <row r="5" spans="1:2" x14ac:dyDescent="0.45">
      <c r="A5" s="23" t="s">
        <v>124</v>
      </c>
      <c r="B5" t="s">
        <v>137</v>
      </c>
    </row>
    <row r="6" spans="1:2" x14ac:dyDescent="0.45">
      <c r="A6" s="28">
        <v>0.01</v>
      </c>
      <c r="B6">
        <v>0</v>
      </c>
    </row>
    <row r="7" spans="1:2" x14ac:dyDescent="0.45">
      <c r="A7" s="28">
        <v>0.02</v>
      </c>
      <c r="B7">
        <v>0</v>
      </c>
    </row>
    <row r="8" spans="1:2" x14ac:dyDescent="0.45">
      <c r="A8" s="28">
        <v>0.03</v>
      </c>
      <c r="B8">
        <v>0</v>
      </c>
    </row>
    <row r="9" spans="1:2" x14ac:dyDescent="0.45">
      <c r="A9" s="28">
        <v>0.04</v>
      </c>
      <c r="B9">
        <v>0</v>
      </c>
    </row>
    <row r="10" spans="1:2" x14ac:dyDescent="0.45">
      <c r="A10" s="28">
        <v>0.08</v>
      </c>
      <c r="B10">
        <v>0</v>
      </c>
    </row>
    <row r="11" spans="1:2" x14ac:dyDescent="0.45">
      <c r="A11" s="28">
        <v>0.09</v>
      </c>
      <c r="B11">
        <v>15</v>
      </c>
    </row>
    <row r="12" spans="1:2" x14ac:dyDescent="0.45">
      <c r="A12" s="28">
        <v>0.11</v>
      </c>
      <c r="B12">
        <v>0</v>
      </c>
    </row>
    <row r="13" spans="1:2" x14ac:dyDescent="0.45">
      <c r="A13" s="28">
        <v>0.13</v>
      </c>
      <c r="B13">
        <v>6</v>
      </c>
    </row>
    <row r="14" spans="1:2" x14ac:dyDescent="0.45">
      <c r="A14" s="28">
        <v>0.14000000000000001</v>
      </c>
      <c r="B14">
        <v>0</v>
      </c>
    </row>
    <row r="15" spans="1:2" x14ac:dyDescent="0.45">
      <c r="A15" s="28">
        <v>0.18</v>
      </c>
      <c r="B15">
        <v>12</v>
      </c>
    </row>
    <row r="16" spans="1:2" x14ac:dyDescent="0.45">
      <c r="A16" s="28">
        <v>0.19</v>
      </c>
      <c r="B16">
        <v>5</v>
      </c>
    </row>
    <row r="17" spans="1:2" x14ac:dyDescent="0.45">
      <c r="A17" s="28">
        <v>0.2</v>
      </c>
      <c r="B17">
        <v>12</v>
      </c>
    </row>
    <row r="18" spans="1:2" x14ac:dyDescent="0.45">
      <c r="A18" s="28">
        <v>0.21</v>
      </c>
      <c r="B18">
        <v>1</v>
      </c>
    </row>
    <row r="19" spans="1:2" x14ac:dyDescent="0.45">
      <c r="A19" s="28">
        <v>0.22</v>
      </c>
      <c r="B19">
        <v>16</v>
      </c>
    </row>
    <row r="20" spans="1:2" x14ac:dyDescent="0.45">
      <c r="A20" s="28">
        <v>0.23</v>
      </c>
      <c r="B20">
        <v>14</v>
      </c>
    </row>
    <row r="21" spans="1:2" x14ac:dyDescent="0.45">
      <c r="A21" s="28">
        <v>0.24</v>
      </c>
      <c r="B21">
        <v>55</v>
      </c>
    </row>
    <row r="22" spans="1:2" x14ac:dyDescent="0.45">
      <c r="A22" s="28">
        <v>0.25</v>
      </c>
      <c r="B22">
        <v>24</v>
      </c>
    </row>
    <row r="23" spans="1:2" x14ac:dyDescent="0.45">
      <c r="A23" s="28">
        <v>0.26</v>
      </c>
      <c r="B23">
        <v>5</v>
      </c>
    </row>
    <row r="24" spans="1:2" x14ac:dyDescent="0.45">
      <c r="A24" s="28">
        <v>0.27</v>
      </c>
      <c r="B24">
        <v>52</v>
      </c>
    </row>
    <row r="25" spans="1:2" x14ac:dyDescent="0.45">
      <c r="A25" s="28">
        <v>0.28999999999999998</v>
      </c>
      <c r="B25">
        <v>5</v>
      </c>
    </row>
    <row r="26" spans="1:2" x14ac:dyDescent="0.45">
      <c r="A26" s="28">
        <v>0.3</v>
      </c>
      <c r="B26">
        <v>20</v>
      </c>
    </row>
    <row r="27" spans="1:2" x14ac:dyDescent="0.45">
      <c r="A27" s="28">
        <v>0.32</v>
      </c>
      <c r="B27">
        <v>13</v>
      </c>
    </row>
    <row r="28" spans="1:2" x14ac:dyDescent="0.45">
      <c r="A28" s="28">
        <v>0.33</v>
      </c>
      <c r="B28">
        <v>9</v>
      </c>
    </row>
    <row r="29" spans="1:2" x14ac:dyDescent="0.45">
      <c r="A29" s="28">
        <v>0.34</v>
      </c>
      <c r="B29">
        <v>51</v>
      </c>
    </row>
    <row r="30" spans="1:2" x14ac:dyDescent="0.45">
      <c r="A30" s="28">
        <v>0.35</v>
      </c>
      <c r="B30">
        <v>55</v>
      </c>
    </row>
    <row r="31" spans="1:2" x14ac:dyDescent="0.45">
      <c r="A31" s="28">
        <v>0.36</v>
      </c>
      <c r="B31">
        <v>0</v>
      </c>
    </row>
    <row r="32" spans="1:2" x14ac:dyDescent="0.45">
      <c r="A32" s="28">
        <v>0.37</v>
      </c>
      <c r="B32">
        <v>9</v>
      </c>
    </row>
    <row r="33" spans="1:2" x14ac:dyDescent="0.45">
      <c r="A33" s="28">
        <v>0.38</v>
      </c>
      <c r="B33">
        <v>4</v>
      </c>
    </row>
    <row r="34" spans="1:2" x14ac:dyDescent="0.45">
      <c r="A34" s="28">
        <v>0.39</v>
      </c>
      <c r="B34">
        <v>5</v>
      </c>
    </row>
    <row r="35" spans="1:2" x14ac:dyDescent="0.45">
      <c r="A35" s="28">
        <v>0.4</v>
      </c>
      <c r="B35">
        <v>1</v>
      </c>
    </row>
    <row r="36" spans="1:2" x14ac:dyDescent="0.45">
      <c r="A36" s="28">
        <v>0.41</v>
      </c>
      <c r="B36">
        <v>36</v>
      </c>
    </row>
    <row r="37" spans="1:2" x14ac:dyDescent="0.45">
      <c r="A37" s="28">
        <v>0.42</v>
      </c>
      <c r="B37">
        <v>6</v>
      </c>
    </row>
    <row r="38" spans="1:2" x14ac:dyDescent="0.45">
      <c r="A38" s="28">
        <v>0.43</v>
      </c>
      <c r="B38">
        <v>11</v>
      </c>
    </row>
    <row r="39" spans="1:2" x14ac:dyDescent="0.45">
      <c r="A39" s="28">
        <v>0.45</v>
      </c>
      <c r="B39">
        <v>28</v>
      </c>
    </row>
    <row r="40" spans="1:2" x14ac:dyDescent="0.45">
      <c r="A40" s="28">
        <v>0.46</v>
      </c>
      <c r="B40">
        <v>3</v>
      </c>
    </row>
    <row r="41" spans="1:2" x14ac:dyDescent="0.45">
      <c r="A41" s="28">
        <v>0.47</v>
      </c>
      <c r="B41">
        <v>39</v>
      </c>
    </row>
    <row r="42" spans="1:2" x14ac:dyDescent="0.45">
      <c r="A42" s="28">
        <v>0.48</v>
      </c>
      <c r="B42">
        <v>9</v>
      </c>
    </row>
    <row r="43" spans="1:2" x14ac:dyDescent="0.45">
      <c r="A43" s="28">
        <v>0.49</v>
      </c>
      <c r="B43">
        <v>118</v>
      </c>
    </row>
    <row r="44" spans="1:2" x14ac:dyDescent="0.45">
      <c r="A44" s="28">
        <v>0.5</v>
      </c>
      <c r="B44">
        <v>8</v>
      </c>
    </row>
    <row r="45" spans="1:2" x14ac:dyDescent="0.45">
      <c r="A45" s="28">
        <v>0.51</v>
      </c>
      <c r="B45">
        <v>2</v>
      </c>
    </row>
    <row r="46" spans="1:2" x14ac:dyDescent="0.45">
      <c r="A46" s="28">
        <v>0.52</v>
      </c>
      <c r="B46">
        <v>24</v>
      </c>
    </row>
    <row r="47" spans="1:2" x14ac:dyDescent="0.45">
      <c r="A47" s="28">
        <v>0.53</v>
      </c>
      <c r="B47">
        <v>15</v>
      </c>
    </row>
    <row r="48" spans="1:2" x14ac:dyDescent="0.45">
      <c r="A48" s="28">
        <v>0.54</v>
      </c>
      <c r="B48">
        <v>17</v>
      </c>
    </row>
    <row r="49" spans="1:3" x14ac:dyDescent="0.45">
      <c r="A49" s="28">
        <v>0.55000000000000004</v>
      </c>
      <c r="B49">
        <v>18</v>
      </c>
    </row>
    <row r="50" spans="1:3" x14ac:dyDescent="0.45">
      <c r="A50" s="28">
        <v>0.61</v>
      </c>
      <c r="B50">
        <v>0</v>
      </c>
    </row>
    <row r="51" spans="1:3" x14ac:dyDescent="0.45">
      <c r="A51" s="28">
        <v>0.64</v>
      </c>
      <c r="B51">
        <v>0</v>
      </c>
    </row>
    <row r="52" spans="1:3" x14ac:dyDescent="0.45">
      <c r="A52" s="28" t="s">
        <v>129</v>
      </c>
      <c r="B52">
        <v>723</v>
      </c>
    </row>
    <row r="57" spans="1:3" s="36" customFormat="1" x14ac:dyDescent="0.45"/>
    <row r="58" spans="1:3" ht="15.75" x14ac:dyDescent="0.5">
      <c r="A58" s="30" t="s">
        <v>146</v>
      </c>
    </row>
    <row r="60" spans="1:3" x14ac:dyDescent="0.45">
      <c r="B60" t="s">
        <v>123</v>
      </c>
      <c r="C60" t="s">
        <v>137</v>
      </c>
    </row>
    <row r="61" spans="1:3" x14ac:dyDescent="0.45">
      <c r="B61">
        <v>422.64220183486299</v>
      </c>
      <c r="C61">
        <v>723</v>
      </c>
    </row>
    <row r="88" spans="2:4" x14ac:dyDescent="0.45">
      <c r="B88" s="23" t="s">
        <v>124</v>
      </c>
      <c r="C88" t="s">
        <v>140</v>
      </c>
      <c r="D88" t="s">
        <v>138</v>
      </c>
    </row>
    <row r="89" spans="2:4" x14ac:dyDescent="0.45">
      <c r="B89" s="24" t="s">
        <v>125</v>
      </c>
      <c r="C89">
        <v>59</v>
      </c>
      <c r="D89">
        <v>59</v>
      </c>
    </row>
    <row r="90" spans="2:4" x14ac:dyDescent="0.45">
      <c r="B90" s="25" t="s">
        <v>132</v>
      </c>
      <c r="C90">
        <v>40</v>
      </c>
      <c r="D90">
        <v>40</v>
      </c>
    </row>
    <row r="91" spans="2:4" x14ac:dyDescent="0.45">
      <c r="B91" s="25" t="s">
        <v>131</v>
      </c>
      <c r="C91">
        <v>9</v>
      </c>
      <c r="D91">
        <v>9</v>
      </c>
    </row>
    <row r="92" spans="2:4" x14ac:dyDescent="0.45">
      <c r="B92" s="25" t="s">
        <v>133</v>
      </c>
      <c r="C92">
        <v>10</v>
      </c>
      <c r="D92">
        <v>10</v>
      </c>
    </row>
    <row r="93" spans="2:4" x14ac:dyDescent="0.45">
      <c r="B93" s="24" t="s">
        <v>126</v>
      </c>
      <c r="C93">
        <v>18</v>
      </c>
      <c r="D93">
        <v>18</v>
      </c>
    </row>
    <row r="94" spans="2:4" x14ac:dyDescent="0.45">
      <c r="B94" s="25" t="s">
        <v>132</v>
      </c>
      <c r="C94">
        <v>16</v>
      </c>
      <c r="D94">
        <v>16</v>
      </c>
    </row>
    <row r="95" spans="2:4" x14ac:dyDescent="0.45">
      <c r="B95" s="25" t="s">
        <v>131</v>
      </c>
      <c r="C95">
        <v>1</v>
      </c>
      <c r="D95">
        <v>1</v>
      </c>
    </row>
    <row r="96" spans="2:4" x14ac:dyDescent="0.45">
      <c r="B96" s="25" t="s">
        <v>133</v>
      </c>
      <c r="C96">
        <v>1</v>
      </c>
      <c r="D96">
        <v>1</v>
      </c>
    </row>
    <row r="97" spans="1:4" x14ac:dyDescent="0.45">
      <c r="B97" s="24" t="s">
        <v>127</v>
      </c>
      <c r="C97">
        <v>32</v>
      </c>
      <c r="D97">
        <v>32</v>
      </c>
    </row>
    <row r="98" spans="1:4" x14ac:dyDescent="0.45">
      <c r="B98" s="25" t="s">
        <v>132</v>
      </c>
      <c r="C98">
        <v>18</v>
      </c>
      <c r="D98">
        <v>18</v>
      </c>
    </row>
    <row r="99" spans="1:4" x14ac:dyDescent="0.45">
      <c r="B99" s="25" t="s">
        <v>131</v>
      </c>
      <c r="C99">
        <v>13</v>
      </c>
      <c r="D99">
        <v>13</v>
      </c>
    </row>
    <row r="100" spans="1:4" x14ac:dyDescent="0.45">
      <c r="B100" s="25" t="s">
        <v>133</v>
      </c>
      <c r="C100">
        <v>1</v>
      </c>
      <c r="D100">
        <v>1</v>
      </c>
    </row>
    <row r="101" spans="1:4" x14ac:dyDescent="0.45">
      <c r="B101" s="24" t="s">
        <v>128</v>
      </c>
    </row>
    <row r="102" spans="1:4" x14ac:dyDescent="0.45">
      <c r="B102" s="25" t="s">
        <v>128</v>
      </c>
    </row>
    <row r="103" spans="1:4" x14ac:dyDescent="0.45">
      <c r="B103" s="24" t="s">
        <v>129</v>
      </c>
      <c r="C103">
        <v>109</v>
      </c>
      <c r="D103">
        <v>109</v>
      </c>
    </row>
    <row r="111" spans="1:4" s="37" customFormat="1" x14ac:dyDescent="0.45">
      <c r="A111" s="37" t="s">
        <v>142</v>
      </c>
    </row>
    <row r="112" spans="1:4" s="29" customFormat="1" x14ac:dyDescent="0.45"/>
    <row r="113" spans="4:5" s="29" customFormat="1" x14ac:dyDescent="0.45"/>
    <row r="114" spans="4:5" s="29" customFormat="1" x14ac:dyDescent="0.45"/>
    <row r="116" spans="4:5" x14ac:dyDescent="0.45">
      <c r="D116" s="23" t="s">
        <v>124</v>
      </c>
      <c r="E116" t="s">
        <v>137</v>
      </c>
    </row>
    <row r="117" spans="4:5" x14ac:dyDescent="0.45">
      <c r="D117" s="24" t="s">
        <v>125</v>
      </c>
      <c r="E117" s="39">
        <v>334</v>
      </c>
    </row>
    <row r="118" spans="4:5" x14ac:dyDescent="0.45">
      <c r="D118" s="24" t="s">
        <v>126</v>
      </c>
      <c r="E118" s="39">
        <v>38</v>
      </c>
    </row>
    <row r="119" spans="4:5" x14ac:dyDescent="0.45">
      <c r="D119" s="24" t="s">
        <v>127</v>
      </c>
      <c r="E119" s="39">
        <v>351</v>
      </c>
    </row>
    <row r="120" spans="4:5" x14ac:dyDescent="0.45">
      <c r="D120" s="24" t="s">
        <v>129</v>
      </c>
      <c r="E120" s="39">
        <v>723</v>
      </c>
    </row>
  </sheetData>
  <mergeCells count="2">
    <mergeCell ref="A57:XFD57"/>
    <mergeCell ref="A111:XFD11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83"/>
  <sheetViews>
    <sheetView topLeftCell="A166" workbookViewId="0">
      <selection activeCell="F18" sqref="F18"/>
    </sheetView>
  </sheetViews>
  <sheetFormatPr defaultRowHeight="14.25" x14ac:dyDescent="0.45"/>
  <cols>
    <col min="1" max="1" width="84.9296875" bestFit="1" customWidth="1"/>
    <col min="2" max="2" width="14.3984375" bestFit="1" customWidth="1"/>
    <col min="3" max="3" width="21.1328125" bestFit="1" customWidth="1"/>
    <col min="4" max="4" width="12.06640625" bestFit="1" customWidth="1"/>
    <col min="5" max="5" width="10.19921875" bestFit="1" customWidth="1"/>
  </cols>
  <sheetData>
    <row r="1" spans="1:4" ht="34.5" customHeight="1" x14ac:dyDescent="0.45"/>
    <row r="3" spans="1:4" x14ac:dyDescent="0.45">
      <c r="A3" s="23" t="s">
        <v>124</v>
      </c>
      <c r="B3" t="s">
        <v>137</v>
      </c>
      <c r="C3" t="s">
        <v>139</v>
      </c>
      <c r="D3" t="s">
        <v>123</v>
      </c>
    </row>
    <row r="4" spans="1:4" x14ac:dyDescent="0.45">
      <c r="A4" s="24" t="s">
        <v>43</v>
      </c>
      <c r="B4">
        <v>2</v>
      </c>
      <c r="C4">
        <v>900</v>
      </c>
      <c r="D4">
        <v>4.5</v>
      </c>
    </row>
    <row r="5" spans="1:4" x14ac:dyDescent="0.45">
      <c r="A5" s="24" t="s">
        <v>16</v>
      </c>
      <c r="B5">
        <v>39</v>
      </c>
      <c r="C5">
        <v>510</v>
      </c>
      <c r="D5">
        <v>4.7</v>
      </c>
    </row>
    <row r="6" spans="1:4" x14ac:dyDescent="0.45">
      <c r="A6" s="24" t="s">
        <v>5</v>
      </c>
      <c r="B6">
        <v>2</v>
      </c>
      <c r="C6">
        <v>575</v>
      </c>
      <c r="D6">
        <v>4.5</v>
      </c>
    </row>
    <row r="7" spans="1:4" x14ac:dyDescent="0.45">
      <c r="A7" s="24" t="s">
        <v>32</v>
      </c>
      <c r="B7">
        <v>13</v>
      </c>
      <c r="C7">
        <v>640</v>
      </c>
      <c r="D7">
        <v>3.8</v>
      </c>
    </row>
    <row r="8" spans="1:4" x14ac:dyDescent="0.45">
      <c r="A8" s="24" t="s">
        <v>36</v>
      </c>
      <c r="B8">
        <v>12</v>
      </c>
      <c r="C8">
        <v>510</v>
      </c>
      <c r="D8">
        <v>4.7</v>
      </c>
    </row>
    <row r="9" spans="1:4" x14ac:dyDescent="0.45">
      <c r="A9" s="24" t="s">
        <v>66</v>
      </c>
      <c r="B9">
        <v>69</v>
      </c>
      <c r="C9">
        <v>428</v>
      </c>
      <c r="D9">
        <v>2.8</v>
      </c>
    </row>
    <row r="10" spans="1:4" x14ac:dyDescent="0.45">
      <c r="A10" s="24" t="s">
        <v>62</v>
      </c>
      <c r="B10">
        <v>0</v>
      </c>
      <c r="C10">
        <v>1011</v>
      </c>
      <c r="D10">
        <v>3.8</v>
      </c>
    </row>
    <row r="11" spans="1:4" x14ac:dyDescent="0.45">
      <c r="A11" s="24" t="s">
        <v>14</v>
      </c>
      <c r="B11">
        <v>5</v>
      </c>
      <c r="C11">
        <v>1329</v>
      </c>
      <c r="D11">
        <v>3.8</v>
      </c>
    </row>
    <row r="12" spans="1:4" x14ac:dyDescent="0.45">
      <c r="A12" s="24" t="s">
        <v>11</v>
      </c>
      <c r="B12" s="35">
        <v>55</v>
      </c>
      <c r="C12">
        <v>713</v>
      </c>
      <c r="D12">
        <v>4.5999999999999996</v>
      </c>
    </row>
    <row r="13" spans="1:4" x14ac:dyDescent="0.45">
      <c r="A13" s="24" t="s">
        <v>106</v>
      </c>
      <c r="B13">
        <v>0</v>
      </c>
      <c r="C13">
        <v>62</v>
      </c>
      <c r="D13">
        <v>3.8</v>
      </c>
    </row>
    <row r="14" spans="1:4" x14ac:dyDescent="0.45">
      <c r="A14" s="24" t="s">
        <v>85</v>
      </c>
      <c r="B14">
        <v>0</v>
      </c>
      <c r="C14">
        <v>33</v>
      </c>
      <c r="D14">
        <v>3.8</v>
      </c>
    </row>
    <row r="15" spans="1:4" x14ac:dyDescent="0.45">
      <c r="A15" s="24" t="s">
        <v>10</v>
      </c>
      <c r="B15">
        <v>15</v>
      </c>
      <c r="C15">
        <v>291</v>
      </c>
      <c r="D15">
        <v>4</v>
      </c>
    </row>
    <row r="16" spans="1:4" x14ac:dyDescent="0.45">
      <c r="A16" s="24" t="s">
        <v>105</v>
      </c>
      <c r="B16">
        <v>0</v>
      </c>
      <c r="C16">
        <v>24</v>
      </c>
      <c r="D16">
        <v>3.8</v>
      </c>
    </row>
    <row r="17" spans="1:4" x14ac:dyDescent="0.45">
      <c r="A17" s="24" t="s">
        <v>96</v>
      </c>
      <c r="B17">
        <v>0</v>
      </c>
      <c r="C17">
        <v>1200</v>
      </c>
      <c r="D17">
        <v>3.8</v>
      </c>
    </row>
    <row r="18" spans="1:4" x14ac:dyDescent="0.45">
      <c r="A18" s="24" t="s">
        <v>52</v>
      </c>
      <c r="B18">
        <v>0</v>
      </c>
      <c r="C18">
        <v>750</v>
      </c>
      <c r="D18">
        <v>3.8</v>
      </c>
    </row>
    <row r="19" spans="1:4" x14ac:dyDescent="0.45">
      <c r="A19" s="24" t="s">
        <v>78</v>
      </c>
      <c r="B19">
        <v>0</v>
      </c>
      <c r="C19">
        <v>695</v>
      </c>
      <c r="D19">
        <v>3.8</v>
      </c>
    </row>
    <row r="20" spans="1:4" x14ac:dyDescent="0.45">
      <c r="A20" s="24" t="s">
        <v>71</v>
      </c>
      <c r="B20">
        <v>5</v>
      </c>
      <c r="C20">
        <v>2393</v>
      </c>
      <c r="D20">
        <v>3</v>
      </c>
    </row>
    <row r="21" spans="1:4" x14ac:dyDescent="0.45">
      <c r="A21" s="24" t="s">
        <v>70</v>
      </c>
      <c r="B21">
        <v>7</v>
      </c>
      <c r="C21">
        <v>1000</v>
      </c>
      <c r="D21">
        <v>2.2999999999999998</v>
      </c>
    </row>
    <row r="22" spans="1:4" x14ac:dyDescent="0.45">
      <c r="A22" s="24" t="s">
        <v>24</v>
      </c>
      <c r="B22">
        <v>44</v>
      </c>
      <c r="C22">
        <v>968</v>
      </c>
      <c r="D22">
        <v>4.5999999999999996</v>
      </c>
    </row>
    <row r="23" spans="1:4" x14ac:dyDescent="0.45">
      <c r="A23" s="24" t="s">
        <v>79</v>
      </c>
      <c r="B23">
        <v>0</v>
      </c>
      <c r="C23">
        <v>510</v>
      </c>
      <c r="D23">
        <v>3.8</v>
      </c>
    </row>
    <row r="24" spans="1:4" x14ac:dyDescent="0.45">
      <c r="A24" s="24" t="s">
        <v>25</v>
      </c>
      <c r="B24">
        <v>13</v>
      </c>
      <c r="C24">
        <v>42</v>
      </c>
      <c r="D24">
        <v>3.3</v>
      </c>
    </row>
    <row r="25" spans="1:4" x14ac:dyDescent="0.45">
      <c r="A25" s="24" t="s">
        <v>99</v>
      </c>
      <c r="B25">
        <v>0</v>
      </c>
      <c r="C25">
        <v>238</v>
      </c>
      <c r="D25">
        <v>3.8</v>
      </c>
    </row>
    <row r="26" spans="1:4" x14ac:dyDescent="0.45">
      <c r="A26" s="24" t="s">
        <v>17</v>
      </c>
      <c r="B26">
        <v>12</v>
      </c>
      <c r="C26">
        <v>483</v>
      </c>
      <c r="D26">
        <v>4.8</v>
      </c>
    </row>
    <row r="27" spans="1:4" x14ac:dyDescent="0.45">
      <c r="A27" s="24" t="s">
        <v>45</v>
      </c>
      <c r="B27">
        <v>0</v>
      </c>
      <c r="C27">
        <v>456</v>
      </c>
      <c r="D27">
        <v>3.8</v>
      </c>
    </row>
    <row r="28" spans="1:4" x14ac:dyDescent="0.45">
      <c r="A28" s="24" t="s">
        <v>26</v>
      </c>
      <c r="B28">
        <v>0</v>
      </c>
      <c r="C28">
        <v>1360</v>
      </c>
      <c r="D28">
        <v>3.3</v>
      </c>
    </row>
    <row r="29" spans="1:4" x14ac:dyDescent="0.45">
      <c r="A29" s="24" t="s">
        <v>63</v>
      </c>
      <c r="B29">
        <v>6</v>
      </c>
      <c r="C29">
        <v>330</v>
      </c>
      <c r="D29">
        <v>2.5</v>
      </c>
    </row>
    <row r="30" spans="1:4" x14ac:dyDescent="0.45">
      <c r="A30" s="24" t="s">
        <v>33</v>
      </c>
      <c r="B30">
        <v>20</v>
      </c>
      <c r="C30">
        <v>741</v>
      </c>
      <c r="D30">
        <v>4.0999999999999996</v>
      </c>
    </row>
    <row r="31" spans="1:4" x14ac:dyDescent="0.45">
      <c r="A31" s="24" t="s">
        <v>39</v>
      </c>
      <c r="B31">
        <v>32</v>
      </c>
      <c r="C31">
        <v>719</v>
      </c>
      <c r="D31">
        <v>4.5</v>
      </c>
    </row>
    <row r="32" spans="1:4" x14ac:dyDescent="0.45">
      <c r="A32" s="24" t="s">
        <v>38</v>
      </c>
      <c r="B32">
        <v>20</v>
      </c>
      <c r="C32">
        <v>710</v>
      </c>
      <c r="D32">
        <v>4.7</v>
      </c>
    </row>
    <row r="33" spans="1:4" x14ac:dyDescent="0.45">
      <c r="A33" s="24" t="s">
        <v>84</v>
      </c>
      <c r="B33">
        <v>0</v>
      </c>
      <c r="C33">
        <v>830</v>
      </c>
      <c r="D33">
        <v>3.8</v>
      </c>
    </row>
    <row r="34" spans="1:4" x14ac:dyDescent="0.45">
      <c r="A34" s="24" t="s">
        <v>65</v>
      </c>
      <c r="B34">
        <v>13</v>
      </c>
      <c r="C34">
        <v>2585</v>
      </c>
      <c r="D34">
        <v>2.1</v>
      </c>
    </row>
    <row r="35" spans="1:4" x14ac:dyDescent="0.45">
      <c r="A35" s="24" t="s">
        <v>111</v>
      </c>
      <c r="B35">
        <v>0</v>
      </c>
      <c r="C35">
        <v>354</v>
      </c>
      <c r="D35">
        <v>3.8</v>
      </c>
    </row>
    <row r="36" spans="1:4" x14ac:dyDescent="0.45">
      <c r="A36" s="24" t="s">
        <v>95</v>
      </c>
      <c r="B36">
        <v>0</v>
      </c>
      <c r="C36">
        <v>800</v>
      </c>
      <c r="D36">
        <v>3.8</v>
      </c>
    </row>
    <row r="37" spans="1:4" x14ac:dyDescent="0.45">
      <c r="A37" s="24" t="s">
        <v>50</v>
      </c>
      <c r="B37">
        <v>0</v>
      </c>
      <c r="C37">
        <v>595</v>
      </c>
      <c r="D37">
        <v>3.8</v>
      </c>
    </row>
    <row r="38" spans="1:4" x14ac:dyDescent="0.45">
      <c r="A38" s="24" t="s">
        <v>81</v>
      </c>
      <c r="B38">
        <v>0</v>
      </c>
      <c r="C38">
        <v>220</v>
      </c>
      <c r="D38">
        <v>3.8</v>
      </c>
    </row>
    <row r="39" spans="1:4" x14ac:dyDescent="0.45">
      <c r="A39" s="24" t="s">
        <v>76</v>
      </c>
      <c r="B39">
        <v>6</v>
      </c>
      <c r="C39">
        <v>846</v>
      </c>
      <c r="D39">
        <v>2.2000000000000002</v>
      </c>
    </row>
    <row r="40" spans="1:4" x14ac:dyDescent="0.45">
      <c r="A40" s="24" t="s">
        <v>102</v>
      </c>
      <c r="B40">
        <v>0</v>
      </c>
      <c r="C40">
        <v>794</v>
      </c>
      <c r="D40">
        <v>3.8</v>
      </c>
    </row>
    <row r="41" spans="1:4" x14ac:dyDescent="0.45">
      <c r="A41" s="24" t="s">
        <v>104</v>
      </c>
      <c r="B41">
        <v>0</v>
      </c>
      <c r="C41">
        <v>1000</v>
      </c>
      <c r="D41">
        <v>3.8</v>
      </c>
    </row>
    <row r="42" spans="1:4" x14ac:dyDescent="0.45">
      <c r="A42" s="24" t="s">
        <v>72</v>
      </c>
      <c r="B42">
        <v>17</v>
      </c>
      <c r="C42">
        <v>318</v>
      </c>
      <c r="D42">
        <v>2.6</v>
      </c>
    </row>
    <row r="43" spans="1:4" x14ac:dyDescent="0.45">
      <c r="A43" s="24" t="s">
        <v>61</v>
      </c>
      <c r="B43">
        <v>0</v>
      </c>
      <c r="C43">
        <v>768</v>
      </c>
      <c r="D43">
        <v>3.8</v>
      </c>
    </row>
    <row r="44" spans="1:4" x14ac:dyDescent="0.45">
      <c r="A44" s="24" t="s">
        <v>20</v>
      </c>
      <c r="B44">
        <v>2</v>
      </c>
      <c r="C44">
        <v>352</v>
      </c>
      <c r="D44">
        <v>5</v>
      </c>
    </row>
    <row r="45" spans="1:4" x14ac:dyDescent="0.45">
      <c r="A45" s="24" t="s">
        <v>69</v>
      </c>
      <c r="B45">
        <v>6</v>
      </c>
      <c r="C45">
        <v>824</v>
      </c>
      <c r="D45">
        <v>2.2000000000000002</v>
      </c>
    </row>
    <row r="46" spans="1:4" x14ac:dyDescent="0.45">
      <c r="A46" s="24" t="s">
        <v>101</v>
      </c>
      <c r="B46">
        <v>0</v>
      </c>
      <c r="C46">
        <v>504</v>
      </c>
      <c r="D46">
        <v>3.8</v>
      </c>
    </row>
    <row r="47" spans="1:4" x14ac:dyDescent="0.45">
      <c r="A47" s="24" t="s">
        <v>47</v>
      </c>
      <c r="B47">
        <v>0</v>
      </c>
      <c r="C47">
        <v>450</v>
      </c>
      <c r="D47">
        <v>3.8</v>
      </c>
    </row>
    <row r="48" spans="1:4" x14ac:dyDescent="0.45">
      <c r="A48" s="24" t="s">
        <v>83</v>
      </c>
      <c r="B48">
        <v>1</v>
      </c>
      <c r="C48">
        <v>941</v>
      </c>
      <c r="D48">
        <v>5</v>
      </c>
    </row>
    <row r="49" spans="1:4" x14ac:dyDescent="0.45">
      <c r="A49" s="24" t="s">
        <v>113</v>
      </c>
      <c r="B49">
        <v>0</v>
      </c>
      <c r="C49">
        <v>151</v>
      </c>
      <c r="D49">
        <v>3.8</v>
      </c>
    </row>
    <row r="50" spans="1:4" x14ac:dyDescent="0.45">
      <c r="A50" s="24" t="s">
        <v>54</v>
      </c>
      <c r="B50">
        <v>0</v>
      </c>
      <c r="C50">
        <v>301</v>
      </c>
      <c r="D50">
        <v>3.8</v>
      </c>
    </row>
    <row r="51" spans="1:4" x14ac:dyDescent="0.45">
      <c r="A51" s="24" t="s">
        <v>51</v>
      </c>
      <c r="B51">
        <v>0</v>
      </c>
      <c r="C51">
        <v>645</v>
      </c>
      <c r="D51">
        <v>3.8</v>
      </c>
    </row>
    <row r="52" spans="1:4" x14ac:dyDescent="0.45">
      <c r="A52" s="24" t="s">
        <v>88</v>
      </c>
      <c r="B52">
        <v>0</v>
      </c>
      <c r="C52">
        <v>263</v>
      </c>
      <c r="D52">
        <v>3.8</v>
      </c>
    </row>
    <row r="53" spans="1:4" x14ac:dyDescent="0.45">
      <c r="A53" s="24" t="s">
        <v>108</v>
      </c>
      <c r="B53">
        <v>0</v>
      </c>
      <c r="C53">
        <v>620</v>
      </c>
      <c r="D53">
        <v>3.8</v>
      </c>
    </row>
    <row r="54" spans="1:4" x14ac:dyDescent="0.45">
      <c r="A54" s="24" t="s">
        <v>49</v>
      </c>
      <c r="B54">
        <v>0</v>
      </c>
      <c r="C54">
        <v>1001</v>
      </c>
      <c r="D54">
        <v>3.8</v>
      </c>
    </row>
    <row r="55" spans="1:4" x14ac:dyDescent="0.45">
      <c r="A55" s="24" t="s">
        <v>60</v>
      </c>
      <c r="B55">
        <v>0</v>
      </c>
      <c r="C55">
        <v>644</v>
      </c>
      <c r="D55">
        <v>3.8</v>
      </c>
    </row>
    <row r="56" spans="1:4" x14ac:dyDescent="0.45">
      <c r="A56" s="24" t="s">
        <v>41</v>
      </c>
      <c r="B56">
        <v>2</v>
      </c>
      <c r="C56">
        <v>189</v>
      </c>
      <c r="D56">
        <v>5</v>
      </c>
    </row>
    <row r="57" spans="1:4" x14ac:dyDescent="0.45">
      <c r="A57" s="24" t="s">
        <v>53</v>
      </c>
      <c r="B57">
        <v>0</v>
      </c>
      <c r="C57">
        <v>305</v>
      </c>
      <c r="D57">
        <v>3.8</v>
      </c>
    </row>
    <row r="58" spans="1:4" x14ac:dyDescent="0.45">
      <c r="A58" s="24" t="s">
        <v>80</v>
      </c>
      <c r="B58">
        <v>0</v>
      </c>
      <c r="C58">
        <v>67</v>
      </c>
      <c r="D58">
        <v>3.8</v>
      </c>
    </row>
    <row r="59" spans="1:4" x14ac:dyDescent="0.45">
      <c r="A59" s="24" t="s">
        <v>58</v>
      </c>
      <c r="B59">
        <v>0</v>
      </c>
      <c r="C59">
        <v>544</v>
      </c>
      <c r="D59">
        <v>3.8</v>
      </c>
    </row>
    <row r="60" spans="1:4" x14ac:dyDescent="0.45">
      <c r="A60" s="24" t="s">
        <v>12</v>
      </c>
      <c r="B60">
        <v>2</v>
      </c>
      <c r="C60">
        <v>592</v>
      </c>
      <c r="D60">
        <v>4</v>
      </c>
    </row>
    <row r="61" spans="1:4" x14ac:dyDescent="0.45">
      <c r="A61" s="24" t="s">
        <v>40</v>
      </c>
      <c r="B61">
        <v>1</v>
      </c>
      <c r="C61">
        <v>1070</v>
      </c>
      <c r="D61">
        <v>5</v>
      </c>
    </row>
    <row r="62" spans="1:4" x14ac:dyDescent="0.45">
      <c r="A62" s="24" t="s">
        <v>77</v>
      </c>
      <c r="B62">
        <v>7</v>
      </c>
      <c r="C62">
        <v>1418</v>
      </c>
      <c r="D62">
        <v>2.1</v>
      </c>
    </row>
    <row r="63" spans="1:4" x14ac:dyDescent="0.45">
      <c r="A63" s="24" t="s">
        <v>30</v>
      </c>
      <c r="B63">
        <v>49</v>
      </c>
      <c r="C63">
        <v>227</v>
      </c>
      <c r="D63">
        <v>4.5999999999999996</v>
      </c>
    </row>
    <row r="64" spans="1:4" x14ac:dyDescent="0.45">
      <c r="A64" s="24" t="s">
        <v>35</v>
      </c>
      <c r="B64">
        <v>9</v>
      </c>
      <c r="C64">
        <v>197</v>
      </c>
      <c r="D64">
        <v>4.3</v>
      </c>
    </row>
    <row r="65" spans="1:4" x14ac:dyDescent="0.45">
      <c r="A65" s="24" t="s">
        <v>28</v>
      </c>
      <c r="B65">
        <v>14</v>
      </c>
      <c r="C65">
        <v>500</v>
      </c>
      <c r="D65">
        <v>4.4000000000000004</v>
      </c>
    </row>
    <row r="66" spans="1:4" x14ac:dyDescent="0.45">
      <c r="A66" s="24" t="s">
        <v>15</v>
      </c>
      <c r="B66">
        <v>12</v>
      </c>
      <c r="C66">
        <v>200</v>
      </c>
      <c r="D66">
        <v>4.0999999999999996</v>
      </c>
    </row>
    <row r="67" spans="1:4" x14ac:dyDescent="0.45">
      <c r="A67" s="24" t="s">
        <v>86</v>
      </c>
      <c r="B67">
        <v>1</v>
      </c>
      <c r="C67">
        <v>317</v>
      </c>
      <c r="D67">
        <v>4</v>
      </c>
    </row>
    <row r="68" spans="1:4" x14ac:dyDescent="0.45">
      <c r="A68" s="24" t="s">
        <v>67</v>
      </c>
      <c r="B68">
        <v>15</v>
      </c>
      <c r="C68">
        <v>355</v>
      </c>
      <c r="D68">
        <v>2.7</v>
      </c>
    </row>
    <row r="69" spans="1:4" x14ac:dyDescent="0.45">
      <c r="A69" s="24" t="s">
        <v>103</v>
      </c>
      <c r="B69">
        <v>1</v>
      </c>
      <c r="C69">
        <v>948</v>
      </c>
      <c r="D69">
        <v>5</v>
      </c>
    </row>
    <row r="70" spans="1:4" x14ac:dyDescent="0.45">
      <c r="A70" s="24" t="s">
        <v>73</v>
      </c>
      <c r="B70">
        <v>5</v>
      </c>
      <c r="C70">
        <v>940</v>
      </c>
      <c r="D70">
        <v>3</v>
      </c>
    </row>
    <row r="71" spans="1:4" x14ac:dyDescent="0.45">
      <c r="A71" s="24" t="s">
        <v>29</v>
      </c>
      <c r="B71">
        <v>7</v>
      </c>
      <c r="C71">
        <v>2452</v>
      </c>
      <c r="D71">
        <v>4.3</v>
      </c>
    </row>
    <row r="72" spans="1:4" x14ac:dyDescent="0.45">
      <c r="A72" s="24" t="s">
        <v>22</v>
      </c>
      <c r="B72">
        <v>3</v>
      </c>
      <c r="C72">
        <v>1946</v>
      </c>
      <c r="D72">
        <v>5</v>
      </c>
    </row>
    <row r="73" spans="1:4" x14ac:dyDescent="0.45">
      <c r="A73" s="24" t="s">
        <v>18</v>
      </c>
      <c r="B73">
        <v>6</v>
      </c>
      <c r="C73">
        <v>359</v>
      </c>
      <c r="D73">
        <v>4.5</v>
      </c>
    </row>
    <row r="74" spans="1:4" x14ac:dyDescent="0.45">
      <c r="A74" s="24" t="s">
        <v>13</v>
      </c>
      <c r="B74">
        <v>5</v>
      </c>
      <c r="C74">
        <v>1526</v>
      </c>
      <c r="D74">
        <v>4.8</v>
      </c>
    </row>
    <row r="75" spans="1:4" x14ac:dyDescent="0.45">
      <c r="A75" s="24" t="s">
        <v>44</v>
      </c>
      <c r="B75">
        <v>0</v>
      </c>
      <c r="C75">
        <v>1721</v>
      </c>
      <c r="D75">
        <v>3.8</v>
      </c>
    </row>
    <row r="76" spans="1:4" x14ac:dyDescent="0.45">
      <c r="A76" s="24" t="s">
        <v>37</v>
      </c>
      <c r="B76">
        <v>9</v>
      </c>
      <c r="C76">
        <v>1670</v>
      </c>
      <c r="D76">
        <v>4.3</v>
      </c>
    </row>
    <row r="77" spans="1:4" x14ac:dyDescent="0.45">
      <c r="A77" s="24" t="s">
        <v>27</v>
      </c>
      <c r="B77">
        <v>6</v>
      </c>
      <c r="C77">
        <v>470</v>
      </c>
      <c r="D77">
        <v>4</v>
      </c>
    </row>
    <row r="78" spans="1:4" x14ac:dyDescent="0.45">
      <c r="A78" s="24" t="s">
        <v>107</v>
      </c>
      <c r="B78">
        <v>0</v>
      </c>
      <c r="C78">
        <v>587</v>
      </c>
      <c r="D78">
        <v>3.8</v>
      </c>
    </row>
    <row r="79" spans="1:4" x14ac:dyDescent="0.45">
      <c r="A79" s="24" t="s">
        <v>23</v>
      </c>
      <c r="B79">
        <v>5</v>
      </c>
      <c r="C79">
        <v>700</v>
      </c>
      <c r="D79">
        <v>4.5999999999999996</v>
      </c>
    </row>
    <row r="80" spans="1:4" x14ac:dyDescent="0.45">
      <c r="A80" s="24" t="s">
        <v>82</v>
      </c>
      <c r="B80">
        <v>1</v>
      </c>
      <c r="C80">
        <v>1010</v>
      </c>
      <c r="D80">
        <v>3</v>
      </c>
    </row>
    <row r="81" spans="1:4" x14ac:dyDescent="0.45">
      <c r="A81" s="24" t="s">
        <v>6</v>
      </c>
      <c r="B81">
        <v>14</v>
      </c>
      <c r="C81">
        <v>472</v>
      </c>
      <c r="D81">
        <v>4.0999999999999996</v>
      </c>
    </row>
    <row r="82" spans="1:4" x14ac:dyDescent="0.45">
      <c r="A82" s="24" t="s">
        <v>100</v>
      </c>
      <c r="B82">
        <v>0</v>
      </c>
      <c r="C82">
        <v>153</v>
      </c>
      <c r="D82">
        <v>3.8</v>
      </c>
    </row>
    <row r="83" spans="1:4" x14ac:dyDescent="0.45">
      <c r="A83" s="24" t="s">
        <v>46</v>
      </c>
      <c r="B83">
        <v>0</v>
      </c>
      <c r="C83">
        <v>238</v>
      </c>
      <c r="D83">
        <v>3.8</v>
      </c>
    </row>
    <row r="84" spans="1:4" x14ac:dyDescent="0.45">
      <c r="A84" s="24" t="s">
        <v>19</v>
      </c>
      <c r="B84">
        <v>9</v>
      </c>
      <c r="C84">
        <v>819</v>
      </c>
      <c r="D84">
        <v>4.2</v>
      </c>
    </row>
    <row r="85" spans="1:4" x14ac:dyDescent="0.45">
      <c r="A85" s="24" t="s">
        <v>91</v>
      </c>
      <c r="B85">
        <v>0</v>
      </c>
      <c r="C85">
        <v>470</v>
      </c>
      <c r="D85">
        <v>3.8</v>
      </c>
    </row>
    <row r="86" spans="1:4" x14ac:dyDescent="0.45">
      <c r="A86" s="24" t="s">
        <v>34</v>
      </c>
      <c r="B86">
        <v>0</v>
      </c>
      <c r="C86">
        <v>1880</v>
      </c>
      <c r="D86">
        <v>3.8</v>
      </c>
    </row>
    <row r="87" spans="1:4" x14ac:dyDescent="0.45">
      <c r="A87" s="24" t="s">
        <v>57</v>
      </c>
      <c r="B87">
        <v>0</v>
      </c>
      <c r="C87">
        <v>40</v>
      </c>
      <c r="D87">
        <v>3.8</v>
      </c>
    </row>
    <row r="88" spans="1:4" x14ac:dyDescent="0.45">
      <c r="A88" s="24" t="s">
        <v>64</v>
      </c>
      <c r="B88">
        <v>10</v>
      </c>
      <c r="C88">
        <v>528</v>
      </c>
      <c r="D88">
        <v>3</v>
      </c>
    </row>
    <row r="89" spans="1:4" x14ac:dyDescent="0.45">
      <c r="A89" s="24" t="s">
        <v>87</v>
      </c>
      <c r="B89">
        <v>0</v>
      </c>
      <c r="C89">
        <v>233</v>
      </c>
      <c r="D89">
        <v>3.8</v>
      </c>
    </row>
    <row r="90" spans="1:4" x14ac:dyDescent="0.45">
      <c r="A90" s="24" t="s">
        <v>89</v>
      </c>
      <c r="B90">
        <v>0</v>
      </c>
      <c r="C90">
        <v>101</v>
      </c>
      <c r="D90">
        <v>3.8</v>
      </c>
    </row>
    <row r="91" spans="1:4" x14ac:dyDescent="0.45">
      <c r="A91" s="24" t="s">
        <v>21</v>
      </c>
      <c r="B91">
        <v>2</v>
      </c>
      <c r="C91">
        <v>165</v>
      </c>
      <c r="D91">
        <v>5</v>
      </c>
    </row>
    <row r="92" spans="1:4" x14ac:dyDescent="0.45">
      <c r="A92" s="24" t="s">
        <v>55</v>
      </c>
      <c r="B92">
        <v>0</v>
      </c>
      <c r="C92">
        <v>39</v>
      </c>
      <c r="D92">
        <v>3.8</v>
      </c>
    </row>
    <row r="93" spans="1:4" x14ac:dyDescent="0.45">
      <c r="A93" s="24" t="s">
        <v>56</v>
      </c>
      <c r="B93">
        <v>0</v>
      </c>
      <c r="C93">
        <v>85</v>
      </c>
      <c r="D93">
        <v>3.8</v>
      </c>
    </row>
    <row r="94" spans="1:4" x14ac:dyDescent="0.45">
      <c r="A94" s="24" t="s">
        <v>9</v>
      </c>
      <c r="B94">
        <v>5</v>
      </c>
      <c r="C94">
        <v>616</v>
      </c>
      <c r="D94">
        <v>4.8</v>
      </c>
    </row>
    <row r="95" spans="1:4" x14ac:dyDescent="0.45">
      <c r="A95" s="24" t="s">
        <v>7</v>
      </c>
      <c r="B95">
        <v>24</v>
      </c>
      <c r="C95">
        <v>724</v>
      </c>
      <c r="D95">
        <v>4.5999999999999996</v>
      </c>
    </row>
    <row r="96" spans="1:4" x14ac:dyDescent="0.45">
      <c r="A96" s="24" t="s">
        <v>98</v>
      </c>
      <c r="B96">
        <v>0</v>
      </c>
      <c r="C96">
        <v>37</v>
      </c>
      <c r="D96">
        <v>3.8</v>
      </c>
    </row>
    <row r="97" spans="1:4" x14ac:dyDescent="0.45">
      <c r="A97" s="24" t="s">
        <v>31</v>
      </c>
      <c r="B97">
        <v>12</v>
      </c>
      <c r="C97">
        <v>640</v>
      </c>
      <c r="D97">
        <v>3.8</v>
      </c>
    </row>
    <row r="98" spans="1:4" x14ac:dyDescent="0.45">
      <c r="A98" s="24" t="s">
        <v>93</v>
      </c>
      <c r="B98">
        <v>0</v>
      </c>
      <c r="C98">
        <v>1200</v>
      </c>
      <c r="D98">
        <v>3.8</v>
      </c>
    </row>
    <row r="99" spans="1:4" x14ac:dyDescent="0.45">
      <c r="A99" s="24" t="s">
        <v>42</v>
      </c>
      <c r="B99">
        <v>36</v>
      </c>
      <c r="C99">
        <v>267</v>
      </c>
      <c r="D99">
        <v>4.3</v>
      </c>
    </row>
    <row r="100" spans="1:4" x14ac:dyDescent="0.45">
      <c r="A100" s="24" t="s">
        <v>94</v>
      </c>
      <c r="B100">
        <v>0</v>
      </c>
      <c r="C100">
        <v>95</v>
      </c>
      <c r="D100">
        <v>3.8</v>
      </c>
    </row>
    <row r="101" spans="1:4" x14ac:dyDescent="0.45">
      <c r="A101" s="24" t="s">
        <v>48</v>
      </c>
      <c r="B101">
        <v>0</v>
      </c>
      <c r="C101">
        <v>37</v>
      </c>
      <c r="D101">
        <v>3.8</v>
      </c>
    </row>
    <row r="102" spans="1:4" x14ac:dyDescent="0.45">
      <c r="A102" s="24" t="s">
        <v>109</v>
      </c>
      <c r="B102">
        <v>0</v>
      </c>
      <c r="C102">
        <v>41</v>
      </c>
      <c r="D102">
        <v>3.8</v>
      </c>
    </row>
    <row r="103" spans="1:4" x14ac:dyDescent="0.45">
      <c r="A103" s="24" t="s">
        <v>59</v>
      </c>
      <c r="B103">
        <v>0</v>
      </c>
      <c r="C103">
        <v>401</v>
      </c>
      <c r="D103">
        <v>3.8</v>
      </c>
    </row>
    <row r="104" spans="1:4" x14ac:dyDescent="0.45">
      <c r="A104" s="24" t="s">
        <v>110</v>
      </c>
      <c r="B104">
        <v>0</v>
      </c>
      <c r="C104">
        <v>31</v>
      </c>
      <c r="D104">
        <v>3.8</v>
      </c>
    </row>
    <row r="105" spans="1:4" x14ac:dyDescent="0.45">
      <c r="A105" s="24" t="s">
        <v>68</v>
      </c>
      <c r="B105">
        <v>16</v>
      </c>
      <c r="C105">
        <v>335</v>
      </c>
      <c r="D105">
        <v>2.9</v>
      </c>
    </row>
    <row r="106" spans="1:4" x14ac:dyDescent="0.45">
      <c r="A106" s="24" t="s">
        <v>92</v>
      </c>
      <c r="B106">
        <v>0</v>
      </c>
      <c r="C106">
        <v>850</v>
      </c>
      <c r="D106">
        <v>3.8</v>
      </c>
    </row>
    <row r="107" spans="1:4" x14ac:dyDescent="0.45">
      <c r="A107" s="24" t="s">
        <v>97</v>
      </c>
      <c r="B107">
        <v>0</v>
      </c>
      <c r="C107">
        <v>134</v>
      </c>
      <c r="D107">
        <v>3.8</v>
      </c>
    </row>
    <row r="108" spans="1:4" x14ac:dyDescent="0.45">
      <c r="A108" s="24" t="s">
        <v>112</v>
      </c>
      <c r="B108">
        <v>1</v>
      </c>
      <c r="C108">
        <v>450</v>
      </c>
      <c r="D108">
        <v>2</v>
      </c>
    </row>
    <row r="109" spans="1:4" x14ac:dyDescent="0.45">
      <c r="A109" s="24" t="s">
        <v>90</v>
      </c>
      <c r="B109">
        <v>0</v>
      </c>
      <c r="C109">
        <v>231</v>
      </c>
      <c r="D109">
        <v>3.8</v>
      </c>
    </row>
    <row r="110" spans="1:4" x14ac:dyDescent="0.45">
      <c r="A110" s="24" t="s">
        <v>74</v>
      </c>
      <c r="B110">
        <v>6</v>
      </c>
      <c r="C110">
        <v>257</v>
      </c>
      <c r="D110">
        <v>2.2999999999999998</v>
      </c>
    </row>
    <row r="111" spans="1:4" x14ac:dyDescent="0.45">
      <c r="A111" s="24" t="s">
        <v>8</v>
      </c>
      <c r="B111">
        <v>7</v>
      </c>
      <c r="C111">
        <v>919</v>
      </c>
      <c r="D111">
        <v>4.7</v>
      </c>
    </row>
    <row r="112" spans="1:4" x14ac:dyDescent="0.45">
      <c r="A112" s="24" t="s">
        <v>75</v>
      </c>
      <c r="B112">
        <v>5</v>
      </c>
      <c r="C112">
        <v>390</v>
      </c>
      <c r="D112">
        <v>3</v>
      </c>
    </row>
    <row r="113" spans="1:4" x14ac:dyDescent="0.45">
      <c r="A113" s="24" t="s">
        <v>129</v>
      </c>
      <c r="B113">
        <v>723</v>
      </c>
      <c r="C113">
        <v>68615</v>
      </c>
      <c r="D113">
        <v>418.80000000000041</v>
      </c>
    </row>
    <row r="116" spans="1:4" x14ac:dyDescent="0.45">
      <c r="A116" s="23" t="s">
        <v>124</v>
      </c>
      <c r="B116" t="s">
        <v>130</v>
      </c>
      <c r="C116" t="s">
        <v>138</v>
      </c>
      <c r="D116" t="s">
        <v>140</v>
      </c>
    </row>
    <row r="117" spans="1:4" x14ac:dyDescent="0.45">
      <c r="A117" s="24" t="s">
        <v>125</v>
      </c>
      <c r="B117" s="4">
        <v>3.6966101694915277</v>
      </c>
      <c r="C117">
        <v>59</v>
      </c>
      <c r="D117">
        <v>59</v>
      </c>
    </row>
    <row r="118" spans="1:4" x14ac:dyDescent="0.45">
      <c r="A118" s="24" t="s">
        <v>126</v>
      </c>
      <c r="B118" s="4">
        <v>3.7833333333333323</v>
      </c>
      <c r="C118">
        <v>18</v>
      </c>
      <c r="D118">
        <v>18</v>
      </c>
    </row>
    <row r="119" spans="1:4" x14ac:dyDescent="0.45">
      <c r="A119" s="24" t="s">
        <v>127</v>
      </c>
      <c r="B119" s="4">
        <v>4.1437500000000007</v>
      </c>
      <c r="C119">
        <v>32</v>
      </c>
      <c r="D119">
        <v>32</v>
      </c>
    </row>
    <row r="120" spans="1:4" x14ac:dyDescent="0.45">
      <c r="A120" s="24" t="s">
        <v>129</v>
      </c>
      <c r="B120" s="4">
        <v>3.8422018348623892</v>
      </c>
      <c r="C120">
        <v>109</v>
      </c>
      <c r="D120">
        <v>109</v>
      </c>
    </row>
    <row r="148" spans="1:2" x14ac:dyDescent="0.45">
      <c r="A148" s="23" t="s">
        <v>120</v>
      </c>
      <c r="B148" t="s">
        <v>147</v>
      </c>
    </row>
    <row r="150" spans="1:2" x14ac:dyDescent="0.45">
      <c r="A150" s="23" t="s">
        <v>124</v>
      </c>
      <c r="B150" t="s">
        <v>123</v>
      </c>
    </row>
    <row r="151" spans="1:2" x14ac:dyDescent="0.45">
      <c r="A151" s="24" t="s">
        <v>43</v>
      </c>
      <c r="B151">
        <v>4.5</v>
      </c>
    </row>
    <row r="152" spans="1:2" x14ac:dyDescent="0.45">
      <c r="A152" s="24" t="s">
        <v>16</v>
      </c>
      <c r="B152">
        <v>4.7</v>
      </c>
    </row>
    <row r="153" spans="1:2" x14ac:dyDescent="0.45">
      <c r="A153" s="24" t="s">
        <v>5</v>
      </c>
      <c r="B153">
        <v>4.5</v>
      </c>
    </row>
    <row r="154" spans="1:2" x14ac:dyDescent="0.45">
      <c r="A154" s="24" t="s">
        <v>32</v>
      </c>
      <c r="B154">
        <v>3.8</v>
      </c>
    </row>
    <row r="155" spans="1:2" x14ac:dyDescent="0.45">
      <c r="A155" s="24" t="s">
        <v>36</v>
      </c>
      <c r="B155">
        <v>4.7</v>
      </c>
    </row>
    <row r="156" spans="1:2" x14ac:dyDescent="0.45">
      <c r="A156" s="24" t="s">
        <v>66</v>
      </c>
      <c r="B156">
        <v>2.8</v>
      </c>
    </row>
    <row r="157" spans="1:2" x14ac:dyDescent="0.45">
      <c r="A157" s="24" t="s">
        <v>62</v>
      </c>
      <c r="B157">
        <v>3.8</v>
      </c>
    </row>
    <row r="158" spans="1:2" x14ac:dyDescent="0.45">
      <c r="A158" s="24" t="s">
        <v>14</v>
      </c>
      <c r="B158">
        <v>3.8</v>
      </c>
    </row>
    <row r="159" spans="1:2" x14ac:dyDescent="0.45">
      <c r="A159" s="24" t="s">
        <v>11</v>
      </c>
      <c r="B159">
        <v>4.5999999999999996</v>
      </c>
    </row>
    <row r="160" spans="1:2" x14ac:dyDescent="0.45">
      <c r="A160" s="24" t="s">
        <v>106</v>
      </c>
      <c r="B160">
        <v>3.8</v>
      </c>
    </row>
    <row r="161" spans="1:2" x14ac:dyDescent="0.45">
      <c r="A161" s="24" t="s">
        <v>85</v>
      </c>
      <c r="B161">
        <v>3.8</v>
      </c>
    </row>
    <row r="162" spans="1:2" x14ac:dyDescent="0.45">
      <c r="A162" s="24" t="s">
        <v>10</v>
      </c>
      <c r="B162">
        <v>4</v>
      </c>
    </row>
    <row r="163" spans="1:2" x14ac:dyDescent="0.45">
      <c r="A163" s="24" t="s">
        <v>105</v>
      </c>
      <c r="B163">
        <v>3.8</v>
      </c>
    </row>
    <row r="164" spans="1:2" x14ac:dyDescent="0.45">
      <c r="A164" s="24" t="s">
        <v>96</v>
      </c>
      <c r="B164">
        <v>3.8</v>
      </c>
    </row>
    <row r="165" spans="1:2" x14ac:dyDescent="0.45">
      <c r="A165" s="24" t="s">
        <v>52</v>
      </c>
      <c r="B165">
        <v>3.8</v>
      </c>
    </row>
    <row r="166" spans="1:2" x14ac:dyDescent="0.45">
      <c r="A166" s="24" t="s">
        <v>78</v>
      </c>
      <c r="B166">
        <v>3.8</v>
      </c>
    </row>
    <row r="167" spans="1:2" x14ac:dyDescent="0.45">
      <c r="A167" s="24" t="s">
        <v>71</v>
      </c>
      <c r="B167">
        <v>3</v>
      </c>
    </row>
    <row r="168" spans="1:2" x14ac:dyDescent="0.45">
      <c r="A168" s="24" t="s">
        <v>70</v>
      </c>
      <c r="B168">
        <v>2.2999999999999998</v>
      </c>
    </row>
    <row r="169" spans="1:2" x14ac:dyDescent="0.45">
      <c r="A169" s="24" t="s">
        <v>24</v>
      </c>
      <c r="B169">
        <v>4.5999999999999996</v>
      </c>
    </row>
    <row r="170" spans="1:2" x14ac:dyDescent="0.45">
      <c r="A170" s="24" t="s">
        <v>79</v>
      </c>
      <c r="B170">
        <v>3.8</v>
      </c>
    </row>
    <row r="171" spans="1:2" x14ac:dyDescent="0.45">
      <c r="A171" s="24" t="s">
        <v>25</v>
      </c>
      <c r="B171">
        <v>3.3</v>
      </c>
    </row>
    <row r="172" spans="1:2" x14ac:dyDescent="0.45">
      <c r="A172" s="24" t="s">
        <v>99</v>
      </c>
      <c r="B172">
        <v>3.8</v>
      </c>
    </row>
    <row r="173" spans="1:2" x14ac:dyDescent="0.45">
      <c r="A173" s="24" t="s">
        <v>17</v>
      </c>
      <c r="B173">
        <v>4.8</v>
      </c>
    </row>
    <row r="174" spans="1:2" x14ac:dyDescent="0.45">
      <c r="A174" s="24" t="s">
        <v>45</v>
      </c>
      <c r="B174">
        <v>3.8</v>
      </c>
    </row>
    <row r="175" spans="1:2" x14ac:dyDescent="0.45">
      <c r="A175" s="24" t="s">
        <v>26</v>
      </c>
      <c r="B175">
        <v>3.3</v>
      </c>
    </row>
    <row r="176" spans="1:2" x14ac:dyDescent="0.45">
      <c r="A176" s="24" t="s">
        <v>63</v>
      </c>
      <c r="B176">
        <v>2.5</v>
      </c>
    </row>
    <row r="177" spans="1:2" x14ac:dyDescent="0.45">
      <c r="A177" s="24" t="s">
        <v>33</v>
      </c>
      <c r="B177">
        <v>4.0999999999999996</v>
      </c>
    </row>
    <row r="178" spans="1:2" x14ac:dyDescent="0.45">
      <c r="A178" s="24" t="s">
        <v>39</v>
      </c>
      <c r="B178">
        <v>4.5</v>
      </c>
    </row>
    <row r="179" spans="1:2" x14ac:dyDescent="0.45">
      <c r="A179" s="24" t="s">
        <v>38</v>
      </c>
      <c r="B179">
        <v>4.7</v>
      </c>
    </row>
    <row r="180" spans="1:2" x14ac:dyDescent="0.45">
      <c r="A180" s="24" t="s">
        <v>84</v>
      </c>
      <c r="B180">
        <v>3.8</v>
      </c>
    </row>
    <row r="181" spans="1:2" x14ac:dyDescent="0.45">
      <c r="A181" s="24" t="s">
        <v>65</v>
      </c>
      <c r="B181">
        <v>2.1</v>
      </c>
    </row>
    <row r="182" spans="1:2" x14ac:dyDescent="0.45">
      <c r="A182" s="24" t="s">
        <v>111</v>
      </c>
      <c r="B182">
        <v>3.8</v>
      </c>
    </row>
    <row r="183" spans="1:2" x14ac:dyDescent="0.45">
      <c r="A183" s="24" t="s">
        <v>95</v>
      </c>
      <c r="B183">
        <v>3.8</v>
      </c>
    </row>
    <row r="184" spans="1:2" x14ac:dyDescent="0.45">
      <c r="A184" s="24" t="s">
        <v>50</v>
      </c>
      <c r="B184">
        <v>3.8</v>
      </c>
    </row>
    <row r="185" spans="1:2" x14ac:dyDescent="0.45">
      <c r="A185" s="24" t="s">
        <v>81</v>
      </c>
      <c r="B185">
        <v>3.8</v>
      </c>
    </row>
    <row r="186" spans="1:2" x14ac:dyDescent="0.45">
      <c r="A186" s="24" t="s">
        <v>76</v>
      </c>
      <c r="B186">
        <v>2.2000000000000002</v>
      </c>
    </row>
    <row r="187" spans="1:2" x14ac:dyDescent="0.45">
      <c r="A187" s="24" t="s">
        <v>102</v>
      </c>
      <c r="B187">
        <v>3.8</v>
      </c>
    </row>
    <row r="188" spans="1:2" x14ac:dyDescent="0.45">
      <c r="A188" s="24" t="s">
        <v>104</v>
      </c>
      <c r="B188">
        <v>3.8</v>
      </c>
    </row>
    <row r="189" spans="1:2" x14ac:dyDescent="0.45">
      <c r="A189" s="24" t="s">
        <v>72</v>
      </c>
      <c r="B189">
        <v>2.6</v>
      </c>
    </row>
    <row r="190" spans="1:2" x14ac:dyDescent="0.45">
      <c r="A190" s="24" t="s">
        <v>61</v>
      </c>
      <c r="B190">
        <v>3.8</v>
      </c>
    </row>
    <row r="191" spans="1:2" x14ac:dyDescent="0.45">
      <c r="A191" s="24" t="s">
        <v>20</v>
      </c>
      <c r="B191">
        <v>5</v>
      </c>
    </row>
    <row r="192" spans="1:2" x14ac:dyDescent="0.45">
      <c r="A192" s="24" t="s">
        <v>69</v>
      </c>
      <c r="B192">
        <v>2.2000000000000002</v>
      </c>
    </row>
    <row r="193" spans="1:2" x14ac:dyDescent="0.45">
      <c r="A193" s="24" t="s">
        <v>101</v>
      </c>
      <c r="B193">
        <v>3.8</v>
      </c>
    </row>
    <row r="194" spans="1:2" x14ac:dyDescent="0.45">
      <c r="A194" s="24" t="s">
        <v>47</v>
      </c>
      <c r="B194">
        <v>3.8</v>
      </c>
    </row>
    <row r="195" spans="1:2" x14ac:dyDescent="0.45">
      <c r="A195" s="24" t="s">
        <v>83</v>
      </c>
      <c r="B195">
        <v>5</v>
      </c>
    </row>
    <row r="196" spans="1:2" x14ac:dyDescent="0.45">
      <c r="A196" s="24" t="s">
        <v>113</v>
      </c>
      <c r="B196">
        <v>3.8</v>
      </c>
    </row>
    <row r="197" spans="1:2" x14ac:dyDescent="0.45">
      <c r="A197" s="24" t="s">
        <v>54</v>
      </c>
      <c r="B197">
        <v>3.8</v>
      </c>
    </row>
    <row r="198" spans="1:2" x14ac:dyDescent="0.45">
      <c r="A198" s="24" t="s">
        <v>51</v>
      </c>
      <c r="B198">
        <v>3.8</v>
      </c>
    </row>
    <row r="199" spans="1:2" x14ac:dyDescent="0.45">
      <c r="A199" s="24" t="s">
        <v>88</v>
      </c>
      <c r="B199">
        <v>3.8</v>
      </c>
    </row>
    <row r="200" spans="1:2" x14ac:dyDescent="0.45">
      <c r="A200" s="24" t="s">
        <v>108</v>
      </c>
      <c r="B200">
        <v>3.8</v>
      </c>
    </row>
    <row r="201" spans="1:2" x14ac:dyDescent="0.45">
      <c r="A201" s="24" t="s">
        <v>49</v>
      </c>
      <c r="B201">
        <v>3.8</v>
      </c>
    </row>
    <row r="202" spans="1:2" x14ac:dyDescent="0.45">
      <c r="A202" s="24" t="s">
        <v>60</v>
      </c>
      <c r="B202">
        <v>3.8</v>
      </c>
    </row>
    <row r="203" spans="1:2" x14ac:dyDescent="0.45">
      <c r="A203" s="24" t="s">
        <v>41</v>
      </c>
      <c r="B203">
        <v>5</v>
      </c>
    </row>
    <row r="204" spans="1:2" x14ac:dyDescent="0.45">
      <c r="A204" s="24" t="s">
        <v>53</v>
      </c>
      <c r="B204">
        <v>3.8</v>
      </c>
    </row>
    <row r="205" spans="1:2" x14ac:dyDescent="0.45">
      <c r="A205" s="24" t="s">
        <v>80</v>
      </c>
      <c r="B205">
        <v>3.8</v>
      </c>
    </row>
    <row r="206" spans="1:2" x14ac:dyDescent="0.45">
      <c r="A206" s="24" t="s">
        <v>58</v>
      </c>
      <c r="B206">
        <v>3.8</v>
      </c>
    </row>
    <row r="207" spans="1:2" x14ac:dyDescent="0.45">
      <c r="A207" s="24" t="s">
        <v>12</v>
      </c>
      <c r="B207">
        <v>4</v>
      </c>
    </row>
    <row r="208" spans="1:2" x14ac:dyDescent="0.45">
      <c r="A208" s="24" t="s">
        <v>40</v>
      </c>
      <c r="B208">
        <v>5</v>
      </c>
    </row>
    <row r="209" spans="1:2" x14ac:dyDescent="0.45">
      <c r="A209" s="24" t="s">
        <v>77</v>
      </c>
      <c r="B209">
        <v>2.1</v>
      </c>
    </row>
    <row r="210" spans="1:2" x14ac:dyDescent="0.45">
      <c r="A210" s="24" t="s">
        <v>30</v>
      </c>
      <c r="B210">
        <v>4.5999999999999996</v>
      </c>
    </row>
    <row r="211" spans="1:2" x14ac:dyDescent="0.45">
      <c r="A211" s="24" t="s">
        <v>35</v>
      </c>
      <c r="B211">
        <v>4.3</v>
      </c>
    </row>
    <row r="212" spans="1:2" x14ac:dyDescent="0.45">
      <c r="A212" s="24" t="s">
        <v>28</v>
      </c>
      <c r="B212">
        <v>4.4000000000000004</v>
      </c>
    </row>
    <row r="213" spans="1:2" x14ac:dyDescent="0.45">
      <c r="A213" s="24" t="s">
        <v>15</v>
      </c>
      <c r="B213">
        <v>4.0999999999999996</v>
      </c>
    </row>
    <row r="214" spans="1:2" x14ac:dyDescent="0.45">
      <c r="A214" s="24" t="s">
        <v>86</v>
      </c>
      <c r="B214">
        <v>4</v>
      </c>
    </row>
    <row r="215" spans="1:2" x14ac:dyDescent="0.45">
      <c r="A215" s="24" t="s">
        <v>67</v>
      </c>
      <c r="B215">
        <v>2.7</v>
      </c>
    </row>
    <row r="216" spans="1:2" x14ac:dyDescent="0.45">
      <c r="A216" s="24" t="s">
        <v>103</v>
      </c>
      <c r="B216">
        <v>5</v>
      </c>
    </row>
    <row r="217" spans="1:2" x14ac:dyDescent="0.45">
      <c r="A217" s="24" t="s">
        <v>73</v>
      </c>
      <c r="B217">
        <v>3</v>
      </c>
    </row>
    <row r="218" spans="1:2" x14ac:dyDescent="0.45">
      <c r="A218" s="24" t="s">
        <v>29</v>
      </c>
      <c r="B218">
        <v>4.3</v>
      </c>
    </row>
    <row r="219" spans="1:2" x14ac:dyDescent="0.45">
      <c r="A219" s="24" t="s">
        <v>22</v>
      </c>
      <c r="B219">
        <v>5</v>
      </c>
    </row>
    <row r="220" spans="1:2" x14ac:dyDescent="0.45">
      <c r="A220" s="24" t="s">
        <v>18</v>
      </c>
      <c r="B220">
        <v>4.5</v>
      </c>
    </row>
    <row r="221" spans="1:2" x14ac:dyDescent="0.45">
      <c r="A221" s="24" t="s">
        <v>13</v>
      </c>
      <c r="B221">
        <v>4.8</v>
      </c>
    </row>
    <row r="222" spans="1:2" x14ac:dyDescent="0.45">
      <c r="A222" s="24" t="s">
        <v>44</v>
      </c>
      <c r="B222">
        <v>3.8</v>
      </c>
    </row>
    <row r="223" spans="1:2" x14ac:dyDescent="0.45">
      <c r="A223" s="24" t="s">
        <v>37</v>
      </c>
      <c r="B223">
        <v>4.3</v>
      </c>
    </row>
    <row r="224" spans="1:2" x14ac:dyDescent="0.45">
      <c r="A224" s="24" t="s">
        <v>27</v>
      </c>
      <c r="B224">
        <v>4</v>
      </c>
    </row>
    <row r="225" spans="1:2" x14ac:dyDescent="0.45">
      <c r="A225" s="24" t="s">
        <v>107</v>
      </c>
      <c r="B225">
        <v>3.8</v>
      </c>
    </row>
    <row r="226" spans="1:2" x14ac:dyDescent="0.45">
      <c r="A226" s="24" t="s">
        <v>23</v>
      </c>
      <c r="B226">
        <v>4.5999999999999996</v>
      </c>
    </row>
    <row r="227" spans="1:2" x14ac:dyDescent="0.45">
      <c r="A227" s="24" t="s">
        <v>82</v>
      </c>
      <c r="B227">
        <v>3</v>
      </c>
    </row>
    <row r="228" spans="1:2" x14ac:dyDescent="0.45">
      <c r="A228" s="24" t="s">
        <v>6</v>
      </c>
      <c r="B228">
        <v>4.0999999999999996</v>
      </c>
    </row>
    <row r="229" spans="1:2" x14ac:dyDescent="0.45">
      <c r="A229" s="24" t="s">
        <v>100</v>
      </c>
      <c r="B229">
        <v>3.8</v>
      </c>
    </row>
    <row r="230" spans="1:2" x14ac:dyDescent="0.45">
      <c r="A230" s="24" t="s">
        <v>46</v>
      </c>
      <c r="B230">
        <v>3.8</v>
      </c>
    </row>
    <row r="231" spans="1:2" x14ac:dyDescent="0.45">
      <c r="A231" s="24" t="s">
        <v>19</v>
      </c>
      <c r="B231">
        <v>4.2</v>
      </c>
    </row>
    <row r="232" spans="1:2" x14ac:dyDescent="0.45">
      <c r="A232" s="24" t="s">
        <v>91</v>
      </c>
      <c r="B232">
        <v>3.8</v>
      </c>
    </row>
    <row r="233" spans="1:2" x14ac:dyDescent="0.45">
      <c r="A233" s="24" t="s">
        <v>34</v>
      </c>
      <c r="B233">
        <v>3.8</v>
      </c>
    </row>
    <row r="234" spans="1:2" x14ac:dyDescent="0.45">
      <c r="A234" s="24" t="s">
        <v>57</v>
      </c>
      <c r="B234">
        <v>3.8</v>
      </c>
    </row>
    <row r="235" spans="1:2" x14ac:dyDescent="0.45">
      <c r="A235" s="24" t="s">
        <v>64</v>
      </c>
      <c r="B235">
        <v>3</v>
      </c>
    </row>
    <row r="236" spans="1:2" x14ac:dyDescent="0.45">
      <c r="A236" s="24" t="s">
        <v>87</v>
      </c>
      <c r="B236">
        <v>3.8</v>
      </c>
    </row>
    <row r="237" spans="1:2" x14ac:dyDescent="0.45">
      <c r="A237" s="24" t="s">
        <v>89</v>
      </c>
      <c r="B237">
        <v>3.8</v>
      </c>
    </row>
    <row r="238" spans="1:2" x14ac:dyDescent="0.45">
      <c r="A238" s="24" t="s">
        <v>21</v>
      </c>
      <c r="B238">
        <v>5</v>
      </c>
    </row>
    <row r="239" spans="1:2" x14ac:dyDescent="0.45">
      <c r="A239" s="24" t="s">
        <v>55</v>
      </c>
      <c r="B239">
        <v>3.8</v>
      </c>
    </row>
    <row r="240" spans="1:2" x14ac:dyDescent="0.45">
      <c r="A240" s="24" t="s">
        <v>56</v>
      </c>
      <c r="B240">
        <v>3.8</v>
      </c>
    </row>
    <row r="241" spans="1:2" x14ac:dyDescent="0.45">
      <c r="A241" s="24" t="s">
        <v>9</v>
      </c>
      <c r="B241">
        <v>4.8</v>
      </c>
    </row>
    <row r="242" spans="1:2" x14ac:dyDescent="0.45">
      <c r="A242" s="24" t="s">
        <v>7</v>
      </c>
      <c r="B242">
        <v>4.5999999999999996</v>
      </c>
    </row>
    <row r="243" spans="1:2" x14ac:dyDescent="0.45">
      <c r="A243" s="24" t="s">
        <v>98</v>
      </c>
      <c r="B243">
        <v>3.8</v>
      </c>
    </row>
    <row r="244" spans="1:2" x14ac:dyDescent="0.45">
      <c r="A244" s="24" t="s">
        <v>31</v>
      </c>
      <c r="B244">
        <v>3.8</v>
      </c>
    </row>
    <row r="245" spans="1:2" x14ac:dyDescent="0.45">
      <c r="A245" s="24" t="s">
        <v>93</v>
      </c>
      <c r="B245">
        <v>3.8</v>
      </c>
    </row>
    <row r="246" spans="1:2" x14ac:dyDescent="0.45">
      <c r="A246" s="24" t="s">
        <v>42</v>
      </c>
      <c r="B246">
        <v>4.3</v>
      </c>
    </row>
    <row r="247" spans="1:2" x14ac:dyDescent="0.45">
      <c r="A247" s="24" t="s">
        <v>94</v>
      </c>
      <c r="B247">
        <v>3.8</v>
      </c>
    </row>
    <row r="248" spans="1:2" x14ac:dyDescent="0.45">
      <c r="A248" s="24" t="s">
        <v>48</v>
      </c>
      <c r="B248">
        <v>3.8</v>
      </c>
    </row>
    <row r="249" spans="1:2" x14ac:dyDescent="0.45">
      <c r="A249" s="24" t="s">
        <v>109</v>
      </c>
      <c r="B249">
        <v>3.8</v>
      </c>
    </row>
    <row r="250" spans="1:2" x14ac:dyDescent="0.45">
      <c r="A250" s="24" t="s">
        <v>59</v>
      </c>
      <c r="B250">
        <v>3.8</v>
      </c>
    </row>
    <row r="251" spans="1:2" x14ac:dyDescent="0.45">
      <c r="A251" s="24" t="s">
        <v>110</v>
      </c>
      <c r="B251">
        <v>3.8</v>
      </c>
    </row>
    <row r="252" spans="1:2" x14ac:dyDescent="0.45">
      <c r="A252" s="24" t="s">
        <v>68</v>
      </c>
      <c r="B252">
        <v>2.9</v>
      </c>
    </row>
    <row r="253" spans="1:2" x14ac:dyDescent="0.45">
      <c r="A253" s="24" t="s">
        <v>92</v>
      </c>
      <c r="B253">
        <v>3.8</v>
      </c>
    </row>
    <row r="254" spans="1:2" x14ac:dyDescent="0.45">
      <c r="A254" s="24" t="s">
        <v>97</v>
      </c>
      <c r="B254">
        <v>3.8</v>
      </c>
    </row>
    <row r="255" spans="1:2" x14ac:dyDescent="0.45">
      <c r="A255" s="24" t="s">
        <v>112</v>
      </c>
      <c r="B255">
        <v>2</v>
      </c>
    </row>
    <row r="256" spans="1:2" x14ac:dyDescent="0.45">
      <c r="A256" s="24" t="s">
        <v>90</v>
      </c>
      <c r="B256">
        <v>3.8</v>
      </c>
    </row>
    <row r="257" spans="1:2" x14ac:dyDescent="0.45">
      <c r="A257" s="24" t="s">
        <v>74</v>
      </c>
      <c r="B257">
        <v>2.2999999999999998</v>
      </c>
    </row>
    <row r="258" spans="1:2" x14ac:dyDescent="0.45">
      <c r="A258" s="24" t="s">
        <v>8</v>
      </c>
      <c r="B258">
        <v>4.7</v>
      </c>
    </row>
    <row r="259" spans="1:2" x14ac:dyDescent="0.45">
      <c r="A259" s="24" t="s">
        <v>75</v>
      </c>
      <c r="B259">
        <v>3</v>
      </c>
    </row>
    <row r="260" spans="1:2" x14ac:dyDescent="0.45">
      <c r="A260" s="24" t="s">
        <v>129</v>
      </c>
      <c r="B260">
        <v>418.80000000000041</v>
      </c>
    </row>
    <row r="267" spans="1:2" x14ac:dyDescent="0.45">
      <c r="A267" s="23" t="s">
        <v>119</v>
      </c>
      <c r="B267" t="s">
        <v>135</v>
      </c>
    </row>
    <row r="269" spans="1:2" x14ac:dyDescent="0.45">
      <c r="A269" s="23" t="s">
        <v>124</v>
      </c>
      <c r="B269" t="s">
        <v>136</v>
      </c>
    </row>
    <row r="270" spans="1:2" x14ac:dyDescent="0.45">
      <c r="A270" s="24" t="s">
        <v>121</v>
      </c>
      <c r="B270" s="1"/>
    </row>
    <row r="271" spans="1:2" x14ac:dyDescent="0.45">
      <c r="A271" s="24" t="s">
        <v>122</v>
      </c>
      <c r="B271" s="1"/>
    </row>
    <row r="272" spans="1:2" x14ac:dyDescent="0.45">
      <c r="A272" s="24" t="s">
        <v>118</v>
      </c>
      <c r="B272" s="1"/>
    </row>
    <row r="273" spans="1:2" x14ac:dyDescent="0.45">
      <c r="A273" s="24" t="s">
        <v>43</v>
      </c>
      <c r="B273" s="1">
        <v>0.38</v>
      </c>
    </row>
    <row r="274" spans="1:2" x14ac:dyDescent="0.45">
      <c r="A274" s="24" t="s">
        <v>16</v>
      </c>
      <c r="B274" s="1">
        <v>0.34</v>
      </c>
    </row>
    <row r="275" spans="1:2" x14ac:dyDescent="0.45">
      <c r="A275" s="24" t="s">
        <v>5</v>
      </c>
      <c r="B275" s="1">
        <v>0.38</v>
      </c>
    </row>
    <row r="276" spans="1:2" x14ac:dyDescent="0.45">
      <c r="A276" s="24" t="s">
        <v>32</v>
      </c>
      <c r="B276" s="1">
        <v>0.32</v>
      </c>
    </row>
    <row r="277" spans="1:2" x14ac:dyDescent="0.45">
      <c r="A277" s="24" t="s">
        <v>36</v>
      </c>
      <c r="B277" s="1">
        <v>0.34</v>
      </c>
    </row>
    <row r="278" spans="1:2" x14ac:dyDescent="0.45">
      <c r="A278" s="24" t="s">
        <v>66</v>
      </c>
      <c r="B278" s="1">
        <v>0.49</v>
      </c>
    </row>
    <row r="279" spans="1:2" x14ac:dyDescent="0.45">
      <c r="A279" s="24" t="s">
        <v>62</v>
      </c>
      <c r="B279" s="1">
        <v>0.27</v>
      </c>
    </row>
    <row r="280" spans="1:2" x14ac:dyDescent="0.45">
      <c r="A280" s="24" t="s">
        <v>14</v>
      </c>
      <c r="B280" s="1">
        <v>0.45</v>
      </c>
    </row>
    <row r="281" spans="1:2" x14ac:dyDescent="0.45">
      <c r="A281" s="24" t="s">
        <v>11</v>
      </c>
      <c r="B281" s="1">
        <v>0.24</v>
      </c>
    </row>
    <row r="282" spans="1:2" x14ac:dyDescent="0.45">
      <c r="A282" s="24" t="s">
        <v>106</v>
      </c>
      <c r="B282" s="1">
        <v>0.24</v>
      </c>
    </row>
    <row r="283" spans="1:2" x14ac:dyDescent="0.45">
      <c r="A283" s="24" t="s">
        <v>85</v>
      </c>
      <c r="B283" s="1">
        <v>0.02</v>
      </c>
    </row>
    <row r="284" spans="1:2" x14ac:dyDescent="0.45">
      <c r="A284" s="24" t="s">
        <v>10</v>
      </c>
      <c r="B284" s="1">
        <v>0.09</v>
      </c>
    </row>
    <row r="285" spans="1:2" x14ac:dyDescent="0.45">
      <c r="A285" s="24" t="s">
        <v>105</v>
      </c>
      <c r="B285" s="1">
        <v>0.01</v>
      </c>
    </row>
    <row r="286" spans="1:2" x14ac:dyDescent="0.45">
      <c r="A286" s="24" t="s">
        <v>96</v>
      </c>
      <c r="B286" s="1">
        <v>0.5</v>
      </c>
    </row>
    <row r="287" spans="1:2" x14ac:dyDescent="0.45">
      <c r="A287" s="24" t="s">
        <v>52</v>
      </c>
      <c r="B287" s="1">
        <v>0.38</v>
      </c>
    </row>
    <row r="288" spans="1:2" x14ac:dyDescent="0.45">
      <c r="A288" s="24" t="s">
        <v>78</v>
      </c>
      <c r="B288" s="1">
        <v>0.47</v>
      </c>
    </row>
    <row r="289" spans="1:2" x14ac:dyDescent="0.45">
      <c r="A289" s="24" t="s">
        <v>71</v>
      </c>
      <c r="B289" s="1">
        <v>0.39</v>
      </c>
    </row>
    <row r="290" spans="1:2" x14ac:dyDescent="0.45">
      <c r="A290" s="24" t="s">
        <v>70</v>
      </c>
      <c r="B290" s="1">
        <v>0.5</v>
      </c>
    </row>
    <row r="291" spans="1:2" x14ac:dyDescent="0.45">
      <c r="A291" s="24" t="s">
        <v>24</v>
      </c>
      <c r="B291" s="1">
        <v>0.49</v>
      </c>
    </row>
    <row r="292" spans="1:2" x14ac:dyDescent="0.45">
      <c r="A292" s="24" t="s">
        <v>79</v>
      </c>
      <c r="B292" s="1">
        <v>0.43</v>
      </c>
    </row>
    <row r="293" spans="1:2" x14ac:dyDescent="0.45">
      <c r="A293" s="24" t="s">
        <v>25</v>
      </c>
      <c r="B293" s="1">
        <v>0.53</v>
      </c>
    </row>
    <row r="294" spans="1:2" x14ac:dyDescent="0.45">
      <c r="A294" s="24" t="s">
        <v>99</v>
      </c>
      <c r="B294" s="1">
        <v>0.49</v>
      </c>
    </row>
    <row r="295" spans="1:2" x14ac:dyDescent="0.45">
      <c r="A295" s="24" t="s">
        <v>17</v>
      </c>
      <c r="B295" s="1">
        <v>0.47</v>
      </c>
    </row>
    <row r="296" spans="1:2" x14ac:dyDescent="0.45">
      <c r="A296" s="24" t="s">
        <v>45</v>
      </c>
      <c r="B296" s="1">
        <v>0.49</v>
      </c>
    </row>
    <row r="297" spans="1:2" x14ac:dyDescent="0.45">
      <c r="A297" s="24" t="s">
        <v>26</v>
      </c>
      <c r="B297" s="1">
        <v>0.42</v>
      </c>
    </row>
    <row r="298" spans="1:2" x14ac:dyDescent="0.45">
      <c r="A298" s="24" t="s">
        <v>63</v>
      </c>
      <c r="B298" s="1">
        <v>0.13</v>
      </c>
    </row>
    <row r="299" spans="1:2" x14ac:dyDescent="0.45">
      <c r="A299" s="24" t="s">
        <v>33</v>
      </c>
      <c r="B299" s="1">
        <v>0.3</v>
      </c>
    </row>
    <row r="300" spans="1:2" x14ac:dyDescent="0.45">
      <c r="A300" s="24" t="s">
        <v>39</v>
      </c>
      <c r="B300" s="1">
        <v>0.27</v>
      </c>
    </row>
    <row r="301" spans="1:2" x14ac:dyDescent="0.45">
      <c r="A301" s="24" t="s">
        <v>38</v>
      </c>
      <c r="B301" s="1">
        <v>0.27</v>
      </c>
    </row>
    <row r="302" spans="1:2" x14ac:dyDescent="0.45">
      <c r="A302" s="24" t="s">
        <v>84</v>
      </c>
      <c r="B302" s="1">
        <v>0.36</v>
      </c>
    </row>
    <row r="303" spans="1:2" x14ac:dyDescent="0.45">
      <c r="A303" s="24" t="s">
        <v>65</v>
      </c>
      <c r="B303" s="1">
        <v>0.55000000000000004</v>
      </c>
    </row>
    <row r="304" spans="1:2" x14ac:dyDescent="0.45">
      <c r="A304" s="24" t="s">
        <v>111</v>
      </c>
      <c r="B304" s="1">
        <v>0.64</v>
      </c>
    </row>
    <row r="305" spans="1:2" x14ac:dyDescent="0.45">
      <c r="A305" s="24" t="s">
        <v>95</v>
      </c>
      <c r="B305" s="1">
        <v>0.47</v>
      </c>
    </row>
    <row r="306" spans="1:2" x14ac:dyDescent="0.45">
      <c r="A306" s="24" t="s">
        <v>50</v>
      </c>
      <c r="B306" s="1">
        <v>0.33</v>
      </c>
    </row>
    <row r="307" spans="1:2" x14ac:dyDescent="0.45">
      <c r="A307" s="24" t="s">
        <v>81</v>
      </c>
      <c r="B307" s="1">
        <v>0.49</v>
      </c>
    </row>
    <row r="308" spans="1:2" x14ac:dyDescent="0.45">
      <c r="A308" s="24" t="s">
        <v>76</v>
      </c>
      <c r="B308" s="1">
        <v>0.47</v>
      </c>
    </row>
    <row r="309" spans="1:2" x14ac:dyDescent="0.45">
      <c r="A309" s="24" t="s">
        <v>102</v>
      </c>
      <c r="B309" s="1">
        <v>0.42</v>
      </c>
    </row>
    <row r="310" spans="1:2" x14ac:dyDescent="0.45">
      <c r="A310" s="24" t="s">
        <v>104</v>
      </c>
      <c r="B310" s="1">
        <v>0.41</v>
      </c>
    </row>
    <row r="311" spans="1:2" x14ac:dyDescent="0.45">
      <c r="A311" s="24" t="s">
        <v>72</v>
      </c>
      <c r="B311" s="1">
        <v>0.45</v>
      </c>
    </row>
    <row r="312" spans="1:2" x14ac:dyDescent="0.45">
      <c r="A312" s="24" t="s">
        <v>61</v>
      </c>
      <c r="B312" s="1">
        <v>0.49</v>
      </c>
    </row>
    <row r="313" spans="1:2" x14ac:dyDescent="0.45">
      <c r="A313" s="24" t="s">
        <v>20</v>
      </c>
      <c r="B313" s="1">
        <v>0.51</v>
      </c>
    </row>
    <row r="314" spans="1:2" x14ac:dyDescent="0.45">
      <c r="A314" s="24" t="s">
        <v>69</v>
      </c>
      <c r="B314" s="1">
        <v>0.45</v>
      </c>
    </row>
    <row r="315" spans="1:2" x14ac:dyDescent="0.45">
      <c r="A315" s="24" t="s">
        <v>101</v>
      </c>
      <c r="B315" s="1">
        <v>0.49</v>
      </c>
    </row>
    <row r="316" spans="1:2" x14ac:dyDescent="0.45">
      <c r="A316" s="24" t="s">
        <v>47</v>
      </c>
      <c r="B316" s="1">
        <v>0.42</v>
      </c>
    </row>
    <row r="317" spans="1:2" x14ac:dyDescent="0.45">
      <c r="A317" s="24" t="s">
        <v>83</v>
      </c>
      <c r="B317" s="1">
        <v>0.49</v>
      </c>
    </row>
    <row r="318" spans="1:2" x14ac:dyDescent="0.45">
      <c r="A318" s="24" t="s">
        <v>113</v>
      </c>
      <c r="B318" s="1">
        <v>0.47</v>
      </c>
    </row>
    <row r="319" spans="1:2" x14ac:dyDescent="0.45">
      <c r="A319" s="24" t="s">
        <v>54</v>
      </c>
      <c r="B319" s="1">
        <v>0.5</v>
      </c>
    </row>
    <row r="320" spans="1:2" x14ac:dyDescent="0.45">
      <c r="A320" s="24" t="s">
        <v>51</v>
      </c>
      <c r="B320" s="1">
        <v>0.49</v>
      </c>
    </row>
    <row r="321" spans="1:2" x14ac:dyDescent="0.45">
      <c r="A321" s="24" t="s">
        <v>88</v>
      </c>
      <c r="B321" s="1">
        <v>0.49</v>
      </c>
    </row>
    <row r="322" spans="1:2" x14ac:dyDescent="0.45">
      <c r="A322" s="24" t="s">
        <v>108</v>
      </c>
      <c r="B322" s="1">
        <v>0.34</v>
      </c>
    </row>
    <row r="323" spans="1:2" x14ac:dyDescent="0.45">
      <c r="A323" s="24" t="s">
        <v>49</v>
      </c>
      <c r="B323" s="1">
        <v>0.5</v>
      </c>
    </row>
    <row r="324" spans="1:2" x14ac:dyDescent="0.45">
      <c r="A324" s="24" t="s">
        <v>60</v>
      </c>
      <c r="B324" s="1">
        <v>0.48</v>
      </c>
    </row>
    <row r="325" spans="1:2" x14ac:dyDescent="0.45">
      <c r="A325" s="24" t="s">
        <v>41</v>
      </c>
      <c r="B325" s="1">
        <v>0.53</v>
      </c>
    </row>
    <row r="326" spans="1:2" x14ac:dyDescent="0.45">
      <c r="A326" s="24" t="s">
        <v>53</v>
      </c>
      <c r="B326" s="1">
        <v>0.61</v>
      </c>
    </row>
    <row r="327" spans="1:2" x14ac:dyDescent="0.45">
      <c r="A327" s="24" t="s">
        <v>80</v>
      </c>
      <c r="B327" s="1">
        <v>0.04</v>
      </c>
    </row>
    <row r="328" spans="1:2" x14ac:dyDescent="0.45">
      <c r="A328" s="24" t="s">
        <v>58</v>
      </c>
      <c r="B328" s="1">
        <v>0.41</v>
      </c>
    </row>
    <row r="329" spans="1:2" x14ac:dyDescent="0.45">
      <c r="A329" s="24" t="s">
        <v>12</v>
      </c>
      <c r="B329" s="1">
        <v>0.37</v>
      </c>
    </row>
    <row r="330" spans="1:2" x14ac:dyDescent="0.45">
      <c r="A330" s="24" t="s">
        <v>40</v>
      </c>
      <c r="B330" s="1">
        <v>0.4</v>
      </c>
    </row>
    <row r="331" spans="1:2" x14ac:dyDescent="0.45">
      <c r="A331" s="24" t="s">
        <v>77</v>
      </c>
      <c r="B331" s="1">
        <v>0.47</v>
      </c>
    </row>
    <row r="332" spans="1:2" x14ac:dyDescent="0.45">
      <c r="A332" s="24" t="s">
        <v>30</v>
      </c>
      <c r="B332" s="1">
        <v>0.35</v>
      </c>
    </row>
    <row r="333" spans="1:2" x14ac:dyDescent="0.45">
      <c r="A333" s="24" t="s">
        <v>35</v>
      </c>
      <c r="B333" s="1">
        <v>0.52</v>
      </c>
    </row>
    <row r="334" spans="1:2" x14ac:dyDescent="0.45">
      <c r="A334" s="24" t="s">
        <v>28</v>
      </c>
      <c r="B334" s="1">
        <v>0.23</v>
      </c>
    </row>
    <row r="335" spans="1:2" x14ac:dyDescent="0.45">
      <c r="A335" s="24" t="s">
        <v>15</v>
      </c>
      <c r="B335" s="1">
        <v>0.2</v>
      </c>
    </row>
    <row r="336" spans="1:2" x14ac:dyDescent="0.45">
      <c r="A336" s="24" t="s">
        <v>86</v>
      </c>
      <c r="B336" s="1">
        <v>0.49</v>
      </c>
    </row>
    <row r="337" spans="1:2" x14ac:dyDescent="0.45">
      <c r="A337" s="24" t="s">
        <v>67</v>
      </c>
      <c r="B337" s="1">
        <v>0.52</v>
      </c>
    </row>
    <row r="338" spans="1:2" x14ac:dyDescent="0.45">
      <c r="A338" s="24" t="s">
        <v>103</v>
      </c>
      <c r="B338" s="1">
        <v>0.21</v>
      </c>
    </row>
    <row r="339" spans="1:2" x14ac:dyDescent="0.45">
      <c r="A339" s="24" t="s">
        <v>73</v>
      </c>
      <c r="B339" s="1">
        <v>0.28999999999999998</v>
      </c>
    </row>
    <row r="340" spans="1:2" x14ac:dyDescent="0.45">
      <c r="A340" s="24" t="s">
        <v>29</v>
      </c>
      <c r="B340" s="1">
        <v>0.54</v>
      </c>
    </row>
    <row r="341" spans="1:2" x14ac:dyDescent="0.45">
      <c r="A341" s="24" t="s">
        <v>22</v>
      </c>
      <c r="B341" s="1">
        <v>0.49</v>
      </c>
    </row>
    <row r="342" spans="1:2" x14ac:dyDescent="0.45">
      <c r="A342" s="24" t="s">
        <v>18</v>
      </c>
      <c r="B342" s="1">
        <v>0.42</v>
      </c>
    </row>
    <row r="343" spans="1:2" x14ac:dyDescent="0.45">
      <c r="A343" s="24" t="s">
        <v>13</v>
      </c>
      <c r="B343" s="1">
        <v>0.55000000000000004</v>
      </c>
    </row>
    <row r="344" spans="1:2" x14ac:dyDescent="0.45">
      <c r="A344" s="24" t="s">
        <v>44</v>
      </c>
      <c r="B344" s="1">
        <v>0.38</v>
      </c>
    </row>
    <row r="345" spans="1:2" x14ac:dyDescent="0.45">
      <c r="A345" s="24" t="s">
        <v>37</v>
      </c>
      <c r="B345" s="1">
        <v>0.48</v>
      </c>
    </row>
    <row r="346" spans="1:2" x14ac:dyDescent="0.45">
      <c r="A346" s="24" t="s">
        <v>27</v>
      </c>
      <c r="B346" s="1">
        <v>0.35</v>
      </c>
    </row>
    <row r="347" spans="1:2" x14ac:dyDescent="0.45">
      <c r="A347" s="24" t="s">
        <v>107</v>
      </c>
      <c r="B347" s="1">
        <v>0.34</v>
      </c>
    </row>
    <row r="348" spans="1:2" x14ac:dyDescent="0.45">
      <c r="A348" s="24" t="s">
        <v>23</v>
      </c>
      <c r="B348" s="1">
        <v>0.19</v>
      </c>
    </row>
    <row r="349" spans="1:2" x14ac:dyDescent="0.45">
      <c r="A349" s="24" t="s">
        <v>82</v>
      </c>
      <c r="B349" s="1">
        <v>0.46</v>
      </c>
    </row>
    <row r="350" spans="1:2" x14ac:dyDescent="0.45">
      <c r="A350" s="24" t="s">
        <v>6</v>
      </c>
      <c r="B350" s="1">
        <v>0.47</v>
      </c>
    </row>
    <row r="351" spans="1:2" x14ac:dyDescent="0.45">
      <c r="A351" s="24" t="s">
        <v>100</v>
      </c>
      <c r="B351" s="1">
        <v>0.04</v>
      </c>
    </row>
    <row r="352" spans="1:2" x14ac:dyDescent="0.45">
      <c r="A352" s="24" t="s">
        <v>46</v>
      </c>
      <c r="B352" s="1">
        <v>0.5</v>
      </c>
    </row>
    <row r="353" spans="1:2" x14ac:dyDescent="0.45">
      <c r="A353" s="24" t="s">
        <v>19</v>
      </c>
      <c r="B353" s="1">
        <v>0.33</v>
      </c>
    </row>
    <row r="354" spans="1:2" x14ac:dyDescent="0.45">
      <c r="A354" s="24" t="s">
        <v>91</v>
      </c>
      <c r="B354" s="1">
        <v>0.43</v>
      </c>
    </row>
    <row r="355" spans="1:2" x14ac:dyDescent="0.45">
      <c r="A355" s="24" t="s">
        <v>34</v>
      </c>
      <c r="B355" s="1">
        <v>0.46</v>
      </c>
    </row>
    <row r="356" spans="1:2" x14ac:dyDescent="0.45">
      <c r="A356" s="24" t="s">
        <v>57</v>
      </c>
      <c r="B356" s="1">
        <v>0.03</v>
      </c>
    </row>
    <row r="357" spans="1:2" x14ac:dyDescent="0.45">
      <c r="A357" s="24" t="s">
        <v>64</v>
      </c>
      <c r="B357" s="1">
        <v>0.54</v>
      </c>
    </row>
    <row r="358" spans="1:2" x14ac:dyDescent="0.45">
      <c r="A358" s="24" t="s">
        <v>87</v>
      </c>
      <c r="B358" s="1">
        <v>0.14000000000000001</v>
      </c>
    </row>
    <row r="359" spans="1:2" x14ac:dyDescent="0.45">
      <c r="A359" s="24" t="s">
        <v>89</v>
      </c>
      <c r="B359" s="1">
        <v>0.11</v>
      </c>
    </row>
    <row r="360" spans="1:2" x14ac:dyDescent="0.45">
      <c r="A360" s="24" t="s">
        <v>21</v>
      </c>
      <c r="B360" s="1">
        <v>0.46</v>
      </c>
    </row>
    <row r="361" spans="1:2" x14ac:dyDescent="0.45">
      <c r="A361" s="24" t="s">
        <v>55</v>
      </c>
      <c r="B361" s="1">
        <v>0.02</v>
      </c>
    </row>
    <row r="362" spans="1:2" x14ac:dyDescent="0.45">
      <c r="A362" s="24" t="s">
        <v>56</v>
      </c>
      <c r="B362" s="1">
        <v>0.22</v>
      </c>
    </row>
    <row r="363" spans="1:2" x14ac:dyDescent="0.45">
      <c r="A363" s="24" t="s">
        <v>9</v>
      </c>
      <c r="B363" s="1">
        <v>0.26</v>
      </c>
    </row>
    <row r="364" spans="1:2" x14ac:dyDescent="0.45">
      <c r="A364" s="24" t="s">
        <v>7</v>
      </c>
      <c r="B364" s="1">
        <v>0.25</v>
      </c>
    </row>
    <row r="365" spans="1:2" x14ac:dyDescent="0.45">
      <c r="A365" s="24" t="s">
        <v>98</v>
      </c>
      <c r="B365" s="1">
        <v>0.02</v>
      </c>
    </row>
    <row r="366" spans="1:2" x14ac:dyDescent="0.45">
      <c r="A366" s="24" t="s">
        <v>31</v>
      </c>
      <c r="B366" s="1">
        <v>0.18</v>
      </c>
    </row>
    <row r="367" spans="1:2" x14ac:dyDescent="0.45">
      <c r="A367" s="24" t="s">
        <v>93</v>
      </c>
      <c r="B367" s="1">
        <v>0.48</v>
      </c>
    </row>
    <row r="368" spans="1:2" x14ac:dyDescent="0.45">
      <c r="A368" s="24" t="s">
        <v>42</v>
      </c>
      <c r="B368" s="1">
        <v>0.41</v>
      </c>
    </row>
    <row r="369" spans="1:2" x14ac:dyDescent="0.45">
      <c r="A369" s="24" t="s">
        <v>94</v>
      </c>
      <c r="B369" s="1">
        <v>0.48</v>
      </c>
    </row>
    <row r="370" spans="1:2" x14ac:dyDescent="0.45">
      <c r="A370" s="24" t="s">
        <v>48</v>
      </c>
      <c r="B370" s="1">
        <v>0.02</v>
      </c>
    </row>
    <row r="371" spans="1:2" x14ac:dyDescent="0.45">
      <c r="A371" s="24" t="s">
        <v>109</v>
      </c>
      <c r="B371" s="1">
        <v>0.02</v>
      </c>
    </row>
    <row r="372" spans="1:2" x14ac:dyDescent="0.45">
      <c r="A372" s="24" t="s">
        <v>59</v>
      </c>
      <c r="B372" s="1">
        <v>0.45</v>
      </c>
    </row>
    <row r="373" spans="1:2" x14ac:dyDescent="0.45">
      <c r="A373" s="24" t="s">
        <v>110</v>
      </c>
      <c r="B373" s="1">
        <v>0.02</v>
      </c>
    </row>
    <row r="374" spans="1:2" x14ac:dyDescent="0.45">
      <c r="A374" s="24" t="s">
        <v>68</v>
      </c>
      <c r="B374" s="1">
        <v>0.22</v>
      </c>
    </row>
    <row r="375" spans="1:2" x14ac:dyDescent="0.45">
      <c r="A375" s="24" t="s">
        <v>92</v>
      </c>
      <c r="B375" s="1">
        <v>0.5</v>
      </c>
    </row>
    <row r="376" spans="1:2" x14ac:dyDescent="0.45">
      <c r="A376" s="24" t="s">
        <v>97</v>
      </c>
      <c r="B376" s="1">
        <v>0.08</v>
      </c>
    </row>
    <row r="377" spans="1:2" x14ac:dyDescent="0.45">
      <c r="A377" s="24" t="s">
        <v>112</v>
      </c>
      <c r="B377" s="1">
        <v>0.5</v>
      </c>
    </row>
    <row r="378" spans="1:2" x14ac:dyDescent="0.45">
      <c r="A378" s="24" t="s">
        <v>90</v>
      </c>
      <c r="B378" s="1">
        <v>0.14000000000000001</v>
      </c>
    </row>
    <row r="379" spans="1:2" x14ac:dyDescent="0.45">
      <c r="A379" s="24" t="s">
        <v>74</v>
      </c>
      <c r="B379" s="1">
        <v>0.43</v>
      </c>
    </row>
    <row r="380" spans="1:2" x14ac:dyDescent="0.45">
      <c r="A380" s="24" t="s">
        <v>8</v>
      </c>
      <c r="B380" s="1">
        <v>0.37</v>
      </c>
    </row>
    <row r="381" spans="1:2" x14ac:dyDescent="0.45">
      <c r="A381" s="24" t="s">
        <v>75</v>
      </c>
      <c r="B381" s="1">
        <v>0.43</v>
      </c>
    </row>
    <row r="382" spans="1:2" x14ac:dyDescent="0.45">
      <c r="A382" s="24" t="s">
        <v>128</v>
      </c>
      <c r="B382" s="1"/>
    </row>
    <row r="383" spans="1:2" x14ac:dyDescent="0.45">
      <c r="A383" s="24" t="s">
        <v>129</v>
      </c>
      <c r="B383" s="1">
        <v>39.659999999999997</v>
      </c>
    </row>
  </sheetData>
  <conditionalFormatting sqref="A1:XFD3 A134:XFD150 D122:XFD133 E117:XFD121 A114:XFD116 A4:A113 E4:XFD113 A265:XFD269 D151:XFD151 F152:XFD261 A168:A264 C262:XFD264 A384:XFD1048576 D270:XFD286 A287:A383 C287:XFD383">
    <cfRule type="top10" dxfId="4" priority="4" rank="10"/>
  </conditionalFormatting>
  <conditionalFormatting pivot="1" sqref="B4:B113">
    <cfRule type="top10" dxfId="3" priority="3" rank="10"/>
  </conditionalFormatting>
  <conditionalFormatting pivot="1" sqref="D4:D113">
    <cfRule type="top10" dxfId="2" priority="2" rank="5"/>
  </conditionalFormatting>
  <conditionalFormatting pivot="1" sqref="D4:D113">
    <cfRule type="top10" dxfId="1" priority="1" bottom="1" rank="5"/>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Excel_jumia</vt:lpstr>
      <vt:lpstr>READ ME</vt:lpstr>
      <vt:lpstr>DASHBOARD</vt:lpstr>
      <vt:lpstr>DESCRIPTIVE</vt:lpstr>
      <vt:lpstr>D1 PRODUCTS</vt:lpstr>
      <vt:lpstr>TREND </vt:lpstr>
      <vt:lpstr>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 POOKIE</dc:creator>
  <cp:lastModifiedBy>pc</cp:lastModifiedBy>
  <dcterms:created xsi:type="dcterms:W3CDTF">2026-02-01T18:20:02Z</dcterms:created>
  <dcterms:modified xsi:type="dcterms:W3CDTF">2026-02-02T17:17:38Z</dcterms:modified>
</cp:coreProperties>
</file>